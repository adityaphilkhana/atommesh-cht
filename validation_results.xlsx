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itya Philkhana\Music\Github\"/>
    </mc:Choice>
  </mc:AlternateContent>
  <xr:revisionPtr revIDLastSave="0" documentId="13_ncr:1_{CB6ECBF8-C722-4E21-9701-1AC57171DB19}" xr6:coauthVersionLast="47" xr6:coauthVersionMax="47" xr10:uidLastSave="{00000000-0000-0000-0000-000000000000}"/>
  <bookViews>
    <workbookView xWindow="-108" yWindow="-108" windowWidth="23256" windowHeight="12456" tabRatio="500" firstSheet="2" activeTab="7" xr2:uid="{00000000-000D-0000-FFFF-FFFF00000000}"/>
  </bookViews>
  <sheets>
    <sheet name="Summary" sheetId="1" r:id="rId1"/>
    <sheet name="Setup" sheetId="3" r:id="rId2"/>
    <sheet name="Mesh size" sheetId="4" r:id="rId3"/>
    <sheet name="Meshing time" sheetId="5" r:id="rId4"/>
    <sheet name="Mesh quality" sheetId="6" r:id="rId5"/>
    <sheet name="Geometry" sheetId="7" r:id="rId6"/>
    <sheet name="Wall resolution" sheetId="8" r:id="rId7"/>
    <sheet name="Results" sheetId="9" r:id="rId8"/>
    <sheet name="Energy" sheetId="10" r:id="rId9"/>
    <sheet name="SimScale" sheetId="11" r:id="rId10"/>
    <sheet name="Cost" sheetId="12"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1" i="12" l="1"/>
  <c r="F11" i="12"/>
  <c r="G10" i="12"/>
  <c r="F10" i="12"/>
  <c r="G9" i="12"/>
  <c r="F9" i="12"/>
  <c r="G8" i="12"/>
  <c r="F8" i="12"/>
  <c r="B8" i="12"/>
  <c r="G7" i="12"/>
  <c r="F7" i="12"/>
  <c r="G6" i="12"/>
  <c r="F6" i="12"/>
  <c r="G5" i="12"/>
  <c r="F5" i="12"/>
  <c r="C15" i="11"/>
  <c r="D14" i="11"/>
  <c r="C12" i="11"/>
  <c r="C14" i="11" s="1"/>
  <c r="E14" i="11" s="1"/>
  <c r="E11" i="11"/>
  <c r="E10" i="11"/>
  <c r="E9" i="11"/>
  <c r="D36" i="1" s="1"/>
  <c r="E8" i="11"/>
  <c r="D35" i="1" s="1"/>
  <c r="E7" i="11"/>
  <c r="E6" i="11"/>
  <c r="D34" i="1" s="1"/>
  <c r="E5" i="11"/>
  <c r="K11" i="10"/>
  <c r="H11" i="10"/>
  <c r="F11" i="10"/>
  <c r="G11" i="10" s="1"/>
  <c r="K10" i="10"/>
  <c r="H10" i="10"/>
  <c r="F10" i="10"/>
  <c r="G10" i="10" s="1"/>
  <c r="K9" i="10"/>
  <c r="H9" i="10"/>
  <c r="G9" i="10"/>
  <c r="J9" i="10" s="1"/>
  <c r="F9" i="10"/>
  <c r="K8" i="10"/>
  <c r="H8" i="10"/>
  <c r="F8" i="10"/>
  <c r="G8" i="10" s="1"/>
  <c r="K7" i="10"/>
  <c r="H7" i="10"/>
  <c r="F7" i="10"/>
  <c r="G7" i="10" s="1"/>
  <c r="K6" i="10"/>
  <c r="H6" i="10"/>
  <c r="G6" i="10"/>
  <c r="J6" i="10" s="1"/>
  <c r="F6" i="10"/>
  <c r="K5" i="10"/>
  <c r="H5" i="10"/>
  <c r="G5" i="10"/>
  <c r="I5" i="10" s="1"/>
  <c r="F5" i="10"/>
  <c r="S11" i="9"/>
  <c r="R11" i="9"/>
  <c r="P11" i="9"/>
  <c r="O11" i="9"/>
  <c r="N11" i="9"/>
  <c r="M11" i="9"/>
  <c r="L11" i="9"/>
  <c r="K11" i="9"/>
  <c r="J11" i="9"/>
  <c r="S10" i="9"/>
  <c r="R10" i="9"/>
  <c r="P10" i="9"/>
  <c r="O10" i="9"/>
  <c r="N10" i="9"/>
  <c r="M10" i="9"/>
  <c r="L10" i="9"/>
  <c r="K10" i="9"/>
  <c r="J10" i="9"/>
  <c r="S9" i="9"/>
  <c r="R9" i="9"/>
  <c r="P9" i="9"/>
  <c r="O9" i="9"/>
  <c r="N9" i="9"/>
  <c r="M9" i="9"/>
  <c r="L9" i="9"/>
  <c r="K9" i="9"/>
  <c r="J9" i="9"/>
  <c r="S8" i="9"/>
  <c r="R8" i="9"/>
  <c r="P8" i="9"/>
  <c r="O8" i="9"/>
  <c r="N8" i="9"/>
  <c r="M8" i="9"/>
  <c r="L8" i="9"/>
  <c r="K8" i="9"/>
  <c r="J8" i="9"/>
  <c r="S7" i="9"/>
  <c r="R7" i="9"/>
  <c r="P7" i="9"/>
  <c r="O7" i="9"/>
  <c r="N7" i="9"/>
  <c r="M7" i="9"/>
  <c r="L7" i="9"/>
  <c r="K7" i="9"/>
  <c r="J7" i="9"/>
  <c r="S6" i="9"/>
  <c r="R6" i="9"/>
  <c r="P6" i="9"/>
  <c r="O6" i="9"/>
  <c r="N6" i="9"/>
  <c r="M6" i="9"/>
  <c r="L6" i="9"/>
  <c r="K6" i="9"/>
  <c r="J6" i="9"/>
  <c r="D31" i="1" s="1"/>
  <c r="S5" i="9"/>
  <c r="R5" i="9"/>
  <c r="P5" i="9"/>
  <c r="O5" i="9"/>
  <c r="N5" i="9"/>
  <c r="M5" i="9"/>
  <c r="L5" i="9"/>
  <c r="K5" i="9"/>
  <c r="J5" i="9"/>
  <c r="C31" i="1" s="1"/>
  <c r="P11" i="8"/>
  <c r="O11" i="8"/>
  <c r="N11" i="8"/>
  <c r="E11" i="8"/>
  <c r="P10" i="8"/>
  <c r="O10" i="8"/>
  <c r="N10" i="8"/>
  <c r="E10" i="8"/>
  <c r="P9" i="8"/>
  <c r="O9" i="8"/>
  <c r="N9" i="8"/>
  <c r="I9" i="8"/>
  <c r="G9" i="8"/>
  <c r="H9" i="8" s="1"/>
  <c r="F9" i="8"/>
  <c r="E9" i="8"/>
  <c r="P8" i="8"/>
  <c r="O8" i="8"/>
  <c r="N8" i="8"/>
  <c r="E8" i="8"/>
  <c r="P7" i="8"/>
  <c r="O7" i="8"/>
  <c r="N7" i="8"/>
  <c r="F7" i="8"/>
  <c r="G7" i="8" s="1"/>
  <c r="H7" i="8" s="1"/>
  <c r="E7" i="8"/>
  <c r="P6" i="8"/>
  <c r="O6" i="8"/>
  <c r="N6" i="8"/>
  <c r="E6" i="8"/>
  <c r="P5" i="8"/>
  <c r="O5" i="8"/>
  <c r="N5" i="8"/>
  <c r="G5" i="8"/>
  <c r="H5" i="8" s="1"/>
  <c r="F5" i="8"/>
  <c r="E5" i="8"/>
  <c r="I5" i="8" s="1"/>
  <c r="M11" i="7"/>
  <c r="O11" i="7" s="1"/>
  <c r="K11" i="7"/>
  <c r="B11" i="7"/>
  <c r="N11" i="7" s="1"/>
  <c r="K10" i="7"/>
  <c r="B10" i="7"/>
  <c r="N10" i="7" s="1"/>
  <c r="M9" i="7"/>
  <c r="K9" i="7"/>
  <c r="B9" i="7"/>
  <c r="N9" i="7" s="1"/>
  <c r="N8" i="7"/>
  <c r="M8" i="7"/>
  <c r="O8" i="7" s="1"/>
  <c r="K8" i="7"/>
  <c r="B8" i="7"/>
  <c r="K7" i="7"/>
  <c r="B7" i="7"/>
  <c r="N7" i="7" s="1"/>
  <c r="K6" i="7"/>
  <c r="D21" i="1" s="1"/>
  <c r="B6" i="7"/>
  <c r="N6" i="7" s="1"/>
  <c r="K5" i="7"/>
  <c r="B5" i="7"/>
  <c r="M5" i="7" s="1"/>
  <c r="P11" i="6"/>
  <c r="P10" i="6"/>
  <c r="P9" i="6"/>
  <c r="P8" i="6"/>
  <c r="P7" i="6"/>
  <c r="P6" i="6"/>
  <c r="P5" i="6"/>
  <c r="M11" i="5"/>
  <c r="J11" i="5"/>
  <c r="K11" i="5" s="1"/>
  <c r="L11" i="5" s="1"/>
  <c r="C11" i="12" s="1"/>
  <c r="H11" i="12" s="1"/>
  <c r="I11" i="5"/>
  <c r="M10" i="5"/>
  <c r="J10" i="5"/>
  <c r="K10" i="5" s="1"/>
  <c r="L10" i="5" s="1"/>
  <c r="C10" i="12" s="1"/>
  <c r="H10" i="12" s="1"/>
  <c r="I10" i="5"/>
  <c r="M9" i="5"/>
  <c r="J9" i="5"/>
  <c r="I9" i="5"/>
  <c r="K9" i="5" s="1"/>
  <c r="L9" i="5" s="1"/>
  <c r="C9" i="12" s="1"/>
  <c r="H9" i="12" s="1"/>
  <c r="M8" i="5"/>
  <c r="J8" i="5"/>
  <c r="I8" i="5"/>
  <c r="K8" i="5" s="1"/>
  <c r="L8" i="5" s="1"/>
  <c r="C8" i="12" s="1"/>
  <c r="H8" i="12" s="1"/>
  <c r="M7" i="5"/>
  <c r="J7" i="5"/>
  <c r="I7" i="5"/>
  <c r="K7" i="5" s="1"/>
  <c r="L7" i="5" s="1"/>
  <c r="C7" i="12" s="1"/>
  <c r="H7" i="12" s="1"/>
  <c r="M6" i="5"/>
  <c r="J6" i="5"/>
  <c r="I6" i="5"/>
  <c r="K6" i="5" s="1"/>
  <c r="L6" i="5" s="1"/>
  <c r="C6" i="12" s="1"/>
  <c r="H6" i="12" s="1"/>
  <c r="M5" i="5"/>
  <c r="J5" i="5"/>
  <c r="I5" i="5"/>
  <c r="K5" i="5" s="1"/>
  <c r="L5" i="5" s="1"/>
  <c r="W11" i="4"/>
  <c r="V11" i="4"/>
  <c r="L11" i="4"/>
  <c r="B11" i="12" s="1"/>
  <c r="I11" i="4"/>
  <c r="M11" i="4" s="1"/>
  <c r="G11" i="4"/>
  <c r="E11" i="4"/>
  <c r="D11" i="4"/>
  <c r="F11" i="4" s="1"/>
  <c r="W10" i="4"/>
  <c r="V10" i="4"/>
  <c r="M10" i="4"/>
  <c r="L10" i="4"/>
  <c r="B10" i="12" s="1"/>
  <c r="I10" i="4"/>
  <c r="F10" i="4"/>
  <c r="E10" i="4"/>
  <c r="G10" i="4" s="1"/>
  <c r="D10" i="4"/>
  <c r="W9" i="4"/>
  <c r="V9" i="4"/>
  <c r="M9" i="4"/>
  <c r="L9" i="4"/>
  <c r="B9" i="12" s="1"/>
  <c r="I9" i="4"/>
  <c r="E9" i="4"/>
  <c r="G9" i="4" s="1"/>
  <c r="D9" i="4"/>
  <c r="F9" i="4" s="1"/>
  <c r="W8" i="4"/>
  <c r="V8" i="4"/>
  <c r="L8" i="4"/>
  <c r="I8" i="4"/>
  <c r="M8" i="4" s="1"/>
  <c r="G8" i="4"/>
  <c r="E8" i="4"/>
  <c r="D8" i="4"/>
  <c r="F8" i="4" s="1"/>
  <c r="W7" i="4"/>
  <c r="V7" i="4"/>
  <c r="L7" i="4"/>
  <c r="B7" i="12" s="1"/>
  <c r="I7" i="4"/>
  <c r="M7" i="4" s="1"/>
  <c r="E7" i="4"/>
  <c r="G7" i="4" s="1"/>
  <c r="D7" i="4"/>
  <c r="F7" i="4" s="1"/>
  <c r="W6" i="4"/>
  <c r="V6" i="4"/>
  <c r="M6" i="4"/>
  <c r="L6" i="4"/>
  <c r="B6" i="12" s="1"/>
  <c r="I6" i="4"/>
  <c r="E6" i="4"/>
  <c r="G6" i="4" s="1"/>
  <c r="D6" i="4"/>
  <c r="F6" i="4" s="1"/>
  <c r="W5" i="4"/>
  <c r="V5" i="4"/>
  <c r="L5" i="4"/>
  <c r="B5" i="12" s="1"/>
  <c r="I5" i="4"/>
  <c r="M5" i="4" s="1"/>
  <c r="G5" i="4"/>
  <c r="D26" i="1" s="1"/>
  <c r="F5" i="4"/>
  <c r="E5" i="4"/>
  <c r="D5" i="4"/>
  <c r="B26" i="3"/>
  <c r="Q8" i="9" s="1"/>
  <c r="D37" i="1"/>
  <c r="E31" i="1"/>
  <c r="E30" i="1"/>
  <c r="D30" i="1"/>
  <c r="C30" i="1"/>
  <c r="E29" i="1"/>
  <c r="E28" i="1"/>
  <c r="E27" i="1"/>
  <c r="E26" i="1"/>
  <c r="E25" i="1"/>
  <c r="D24" i="1"/>
  <c r="B24" i="1"/>
  <c r="B23" i="1"/>
  <c r="E22" i="1"/>
  <c r="D22" i="1"/>
  <c r="C22" i="1"/>
  <c r="B21" i="1"/>
  <c r="D20" i="1"/>
  <c r="B20" i="1"/>
  <c r="D19" i="1"/>
  <c r="B19" i="1"/>
  <c r="E18" i="1"/>
  <c r="D18" i="1"/>
  <c r="C18" i="1"/>
  <c r="B17" i="1"/>
  <c r="B16" i="1"/>
  <c r="D15" i="1"/>
  <c r="C15" i="1"/>
  <c r="B15" i="1"/>
  <c r="D14" i="1"/>
  <c r="C14" i="1"/>
  <c r="B14" i="1"/>
  <c r="D13" i="1"/>
  <c r="E13" i="1" s="1"/>
  <c r="C13" i="1"/>
  <c r="B13" i="1"/>
  <c r="D12" i="1"/>
  <c r="C12" i="1"/>
  <c r="B12" i="1"/>
  <c r="D11" i="1"/>
  <c r="C11" i="1"/>
  <c r="B11" i="1"/>
  <c r="D10" i="1"/>
  <c r="C10" i="1"/>
  <c r="B10" i="1"/>
  <c r="D9" i="1"/>
  <c r="E9" i="1" s="1"/>
  <c r="C9" i="1"/>
  <c r="B9" i="1"/>
  <c r="D8" i="1"/>
  <c r="E8" i="1" s="1"/>
  <c r="C8" i="1"/>
  <c r="B8" i="1"/>
  <c r="D7" i="1"/>
  <c r="C7" i="1"/>
  <c r="B7" i="1"/>
  <c r="D6" i="1"/>
  <c r="E6" i="1" s="1"/>
  <c r="C6" i="1"/>
  <c r="B6" i="1"/>
  <c r="C5" i="1"/>
  <c r="E5" i="1" s="1"/>
  <c r="E24" i="1" l="1"/>
  <c r="E7" i="1"/>
  <c r="E19" i="1"/>
  <c r="E20" i="1"/>
  <c r="E11" i="1"/>
  <c r="E15" i="1"/>
  <c r="E10" i="1"/>
  <c r="E12" i="1"/>
  <c r="E14" i="1"/>
  <c r="E21" i="1"/>
  <c r="C25" i="1"/>
  <c r="C5" i="12"/>
  <c r="H5" i="12" s="1"/>
  <c r="D29" i="1"/>
  <c r="C29" i="1"/>
  <c r="J9" i="8"/>
  <c r="I10" i="8"/>
  <c r="J10" i="8" s="1"/>
  <c r="J8" i="10"/>
  <c r="I8" i="10"/>
  <c r="M8" i="10" s="1"/>
  <c r="J10" i="10"/>
  <c r="I10" i="10"/>
  <c r="M10" i="10" s="1"/>
  <c r="J11" i="10"/>
  <c r="I11" i="10"/>
  <c r="I7" i="10"/>
  <c r="M7" i="10" s="1"/>
  <c r="J7" i="10"/>
  <c r="O9" i="7"/>
  <c r="D28" i="1"/>
  <c r="C28" i="1"/>
  <c r="I6" i="8"/>
  <c r="J6" i="8" s="1"/>
  <c r="J5" i="8"/>
  <c r="Q5" i="9"/>
  <c r="F11" i="8"/>
  <c r="G11" i="8" s="1"/>
  <c r="H11" i="8" s="1"/>
  <c r="J5" i="10"/>
  <c r="M5" i="10" s="1"/>
  <c r="D25" i="1"/>
  <c r="F8" i="8"/>
  <c r="G8" i="8" s="1"/>
  <c r="H8" i="8" s="1"/>
  <c r="M10" i="7"/>
  <c r="O10" i="7" s="1"/>
  <c r="M7" i="7"/>
  <c r="O7" i="7" s="1"/>
  <c r="C26" i="1"/>
  <c r="F10" i="8"/>
  <c r="G10" i="8" s="1"/>
  <c r="H10" i="8" s="1"/>
  <c r="Q9" i="9"/>
  <c r="E12" i="11"/>
  <c r="F6" i="8"/>
  <c r="G6" i="8" s="1"/>
  <c r="H6" i="8" s="1"/>
  <c r="I6" i="10"/>
  <c r="M6" i="10" s="1"/>
  <c r="C27" i="1"/>
  <c r="N5" i="7"/>
  <c r="Q6" i="9"/>
  <c r="I7" i="8"/>
  <c r="J7" i="8" s="1"/>
  <c r="Q10" i="9"/>
  <c r="Q7" i="9"/>
  <c r="D27" i="1"/>
  <c r="Q11" i="9"/>
  <c r="M6" i="7"/>
  <c r="O6" i="7" s="1"/>
  <c r="I9" i="10"/>
  <c r="M9" i="10" s="1"/>
  <c r="I8" i="8" l="1"/>
  <c r="J8" i="8" s="1"/>
  <c r="C23" i="1"/>
  <c r="E23" i="1" s="1"/>
  <c r="C17" i="1"/>
  <c r="D17" i="1"/>
  <c r="E17" i="1" s="1"/>
  <c r="I11" i="8"/>
  <c r="J11" i="8" s="1"/>
  <c r="C16" i="1"/>
  <c r="D23" i="1"/>
  <c r="D16" i="1"/>
  <c r="E16" i="1" s="1"/>
  <c r="O5" i="7"/>
  <c r="M11" i="10"/>
</calcChain>
</file>

<file path=xl/sharedStrings.xml><?xml version="1.0" encoding="utf-8"?>
<sst xmlns="http://schemas.openxmlformats.org/spreadsheetml/2006/main" count="478" uniqueCount="305">
  <si>
    <t>All-hex CHT mesher: validation results</t>
  </si>
  <si>
    <t>Seven cold plates (4 pin-fin arrays, 3 TPMS lattices), final meshes. Every achieved value is a formula on the sheets behind it.</t>
  </si>
  <si>
    <t>Result</t>
  </si>
  <si>
    <t>Acceptance limit</t>
  </si>
  <si>
    <t>Lowest of 7 plates</t>
  </si>
  <si>
    <t>Highest of 7 plates</t>
  </si>
  <si>
    <t>Verdict</t>
  </si>
  <si>
    <t>Sheet</t>
  </si>
  <si>
    <t>checkMesh verdict, all 14 regions</t>
  </si>
  <si>
    <t>Mesh OK in every region</t>
  </si>
  <si>
    <t>Mesh quality</t>
  </si>
  <si>
    <t>Inverted cells</t>
  </si>
  <si>
    <t>Max non-orthogonality, fluid (°)</t>
  </si>
  <si>
    <t>Max non-orthogonality, solid (°)</t>
  </si>
  <si>
    <t>Max skewness, fluid</t>
  </si>
  <si>
    <t>Max aspect ratio, fluid</t>
  </si>
  <si>
    <t>Min scaled Jacobian, fluid (must exceed)</t>
  </si>
  <si>
    <t>Min scaled Jacobian, solid (must exceed)</t>
  </si>
  <si>
    <t>Mean first-cell y+ (below)</t>
  </si>
  <si>
    <t>Wall resolution</t>
  </si>
  <si>
    <t>Wall-layer coverage (at least)</t>
  </si>
  <si>
    <t>Growth ratio between layers (guideline)</t>
  </si>
  <si>
    <t>Mean fluid wall deviation (x atom size)</t>
  </si>
  <si>
    <t>Geometry</t>
  </si>
  <si>
    <t>Max fluid wall deviation (x atom size)</t>
  </si>
  <si>
    <t>Mean solid outer-wall deviation (µm)</t>
  </si>
  <si>
    <t>-</t>
  </si>
  <si>
    <t>Fluid volume deviation (absolute)</t>
  </si>
  <si>
    <t>Solid volume deviation (absolute)</t>
  </si>
  <si>
    <t>Interface area difference, fluid vs solid (absolute)</t>
  </si>
  <si>
    <t>Identical fluid/solid interface faces</t>
  </si>
  <si>
    <t>Heater power reaching the water</t>
  </si>
  <si>
    <t>Energy</t>
  </si>
  <si>
    <t>Interface heat error (absolute)</t>
  </si>
  <si>
    <t>Total cells per plate, without wall layers</t>
  </si>
  <si>
    <t>Mesh size</t>
  </si>
  <si>
    <t>Total nodes per plate, without wall layers</t>
  </si>
  <si>
    <t>Total cells per plate, with wall layers</t>
  </si>
  <si>
    <t>Total nodes per plate, with wall layers</t>
  </si>
  <si>
    <t>Meshing time per plate (min)</t>
  </si>
  <si>
    <t>Meshing time</t>
  </si>
  <si>
    <t>Heater Tmax (K)</t>
  </si>
  <si>
    <t>Results</t>
  </si>
  <si>
    <t>Pressure drop (kPa)</t>
  </si>
  <si>
    <t>Comparison with SimScale (parallel pin-fin, whole bottom face heated)</t>
  </si>
  <si>
    <t>Outlet water temperature, ours - SimScale (K)</t>
  </si>
  <si>
    <t>SimScale</t>
  </si>
  <si>
    <t>Heater maximum temperature, ours - SimScale (K)</t>
  </si>
  <si>
    <t>Heater average temperature, ours - SimScale (K)</t>
  </si>
  <si>
    <t>Pressure drop, ours - SimScale (kPa)</t>
  </si>
  <si>
    <t>Notes</t>
  </si>
  <si>
    <t>Blue text = input from a mesher log, OpenFOAM postProcessing or the SimScale export. Black = formula. Limits are on the Limits sheet.</t>
  </si>
  <si>
    <t>Mesh independence and a wall-layer transition test (6 layers, core cell / last layer about 2.3) are pending.</t>
  </si>
  <si>
    <t>Lidinoid and Neovius results: see the note on the Results sheet.</t>
  </si>
  <si>
    <t>Fluid volume deviation</t>
  </si>
  <si>
    <t>Solid volume deviation</t>
  </si>
  <si>
    <t>Interface heat error</t>
  </si>
  <si>
    <t>Test cases and simulation setup</t>
  </si>
  <si>
    <t>CAD volumes from the STL files; wetted area = fluid-side interface area of the mesh.</t>
  </si>
  <si>
    <t>Plate</t>
  </si>
  <si>
    <t>Family</t>
  </si>
  <si>
    <t>Atom size (mm)</t>
  </si>
  <si>
    <t>Fluid volume, CAD (mm³)</t>
  </si>
  <si>
    <t>Solid volume, CAD (mm³)</t>
  </si>
  <si>
    <t>Wetted area (mm²)</t>
  </si>
  <si>
    <t>Ports</t>
  </si>
  <si>
    <t>Heater</t>
  </si>
  <si>
    <t>Chevron</t>
  </si>
  <si>
    <t>Pin-fin</t>
  </si>
  <si>
    <t>2 x d = 10.4 mm, top face, x = 7 / 193 mm</t>
  </si>
  <si>
    <t>2000 W uniform, 140 x 70 mm of the bottom face</t>
  </si>
  <si>
    <t>Cylinder</t>
  </si>
  <si>
    <t>Parallel</t>
  </si>
  <si>
    <t>Square</t>
  </si>
  <si>
    <t>Gyroid</t>
  </si>
  <si>
    <t>TPMS</t>
  </si>
  <si>
    <t>2 x d = 12 mm, top face, x = ±92.5 mm</t>
  </si>
  <si>
    <t>Lidinoid</t>
  </si>
  <si>
    <t>Neovius</t>
  </si>
  <si>
    <t>Operating point and properties</t>
  </si>
  <si>
    <t>Parameter</t>
  </si>
  <si>
    <t>Value</t>
  </si>
  <si>
    <t>Unit</t>
  </si>
  <si>
    <t>Note</t>
  </si>
  <si>
    <t>Inlet temperature T_in</t>
  </si>
  <si>
    <t>K</t>
  </si>
  <si>
    <t>19.85 °C</t>
  </si>
  <si>
    <t>Heater power Q</t>
  </si>
  <si>
    <t>W</t>
  </si>
  <si>
    <t>Flow rate</t>
  </si>
  <si>
    <t>L/min</t>
  </si>
  <si>
    <t>Density ρ0 (water, 25 °C)</t>
  </si>
  <si>
    <t>kg/m³</t>
  </si>
  <si>
    <t>Boussinesq reference density</t>
  </si>
  <si>
    <t>Thermal expansion β</t>
  </si>
  <si>
    <t>1/K</t>
  </si>
  <si>
    <t>Boussinesq reference T0</t>
  </si>
  <si>
    <t>Specific heat cp</t>
  </si>
  <si>
    <t>J/(kg K)</t>
  </si>
  <si>
    <t>Kinematic viscosity ν</t>
  </si>
  <si>
    <t>m²/s</t>
  </si>
  <si>
    <t>Prandtl number</t>
  </si>
  <si>
    <t>Copper conductivity κ</t>
  </si>
  <si>
    <t>W/(m K)</t>
  </si>
  <si>
    <t>Density at the inlet ρ(T_in)</t>
  </si>
  <si>
    <t>Formula</t>
  </si>
  <si>
    <t>Mass flow ṁ</t>
  </si>
  <si>
    <t>kg/s</t>
  </si>
  <si>
    <t>OpenFOAM inlet (10 L/min at ρ(T_in))</t>
  </si>
  <si>
    <t>Kelvin offset</t>
  </si>
  <si>
    <t>Solver</t>
  </si>
  <si>
    <t>chtMultiRegionSimpleFoam, OpenFOAM v2312, 96 MPI processes; k-omega SST, wall treatment valid at any y+</t>
  </si>
  <si>
    <t>Second-order (linearUpwind) convection for velocity and energy; mappedWall interface with turbulentTemperatureCoupledBaffleMixed</t>
  </si>
  <si>
    <t>4000 coupled iterations (flow and heat), then 1000 energy-only iterations with the flow frozen, energy solved to 1e-10</t>
  </si>
  <si>
    <t>Outlet p = 1e5 Pa; inlet turbulence intensity 5 %; no-slip walls; solid outer walls adiabatic; Boussinesq buoyancy</t>
  </si>
  <si>
    <t>Mesh size: cells, nodes and faces</t>
  </si>
  <si>
    <t>All cells hexahedral. Inputs from the mesher logs; totals are formulas.</t>
  </si>
  <si>
    <t>Without wall layers (snapped atom grid)</t>
  </si>
  <si>
    <t>With wall layers (used in all simulations)</t>
  </si>
  <si>
    <t>Details</t>
  </si>
  <si>
    <t>Fluid cells</t>
  </si>
  <si>
    <t>Fluid nodes</t>
  </si>
  <si>
    <t>Solid cells</t>
  </si>
  <si>
    <t>Solid nodes</t>
  </si>
  <si>
    <t>Total cells</t>
  </si>
  <si>
    <t>Total nodes</t>
  </si>
  <si>
    <t>Wall layers</t>
  </si>
  <si>
    <t>Layer cells added</t>
  </si>
  <si>
    <t>Fluid wall nodes (snapped)</t>
  </si>
  <si>
    <t>Solid wall nodes (snapped)</t>
  </si>
  <si>
    <t>Fluid internal faces</t>
  </si>
  <si>
    <t>Fluid boundary faces</t>
  </si>
  <si>
    <t>Solid internal faces</t>
  </si>
  <si>
    <t>Solid boundary faces</t>
  </si>
  <si>
    <t>Total faces (with layers)</t>
  </si>
  <si>
    <t>Layer-cell share of fluid</t>
  </si>
  <si>
    <t>Wall layers are built only in the fluid, so the solid is the same with and without layers.</t>
  </si>
  <si>
    <t>Fluid nodes with layers = atom-grid nodes + wall layers x fluid wall nodes (each layer adds one node per wall node). Lidinoid: layers are left out on 0.165 % of the wall, so its layered node count is an upper bound.</t>
  </si>
  <si>
    <t>Layer cells added = wall layers x fluid wall faces. Wall nodes (snapped) = boundary nodes moved onto the CAD by the graph neural network.</t>
  </si>
  <si>
    <t>The solid's interface nodes take the fluid's final positions; its other wall nodes are placed on the CAD.</t>
  </si>
  <si>
    <t>Meshing time per step</t>
  </si>
  <si>
    <t>Seconds per step on one cluster GPU node (4 CPU cores, 1 GPU, 64 GB). Totals are formulas.</t>
  </si>
  <si>
    <t>Fluid: atoms (s)</t>
  </si>
  <si>
    <t>Fluid: GNN snapping (s)</t>
  </si>
  <si>
    <t>Fluid: wall layers (s)</t>
  </si>
  <si>
    <t>Fluid: export (s)</t>
  </si>
  <si>
    <t>Solid: atoms (s)</t>
  </si>
  <si>
    <t>Solid: GNN snapping (s)</t>
  </si>
  <si>
    <t>Solid: export (s)</t>
  </si>
  <si>
    <t>Fluid total (s)</t>
  </si>
  <si>
    <t>Solid total (s)</t>
  </si>
  <si>
    <t>Total (s)</t>
  </si>
  <si>
    <t>Total (min)</t>
  </si>
  <si>
    <t>GNN snapping, both bodies (s)</t>
  </si>
  <si>
    <t>Times are the 'Completed in' values of each step. Fluid export includes writing an optional Fluent mesh file.</t>
  </si>
  <si>
    <t>Parallel solid export: 76.1 s measured with interface matching but without the outer-wall placement (about 7-14 s on the other pin-fin plates).</t>
  </si>
  <si>
    <t>The Lidinoid wall-layer step needs many rounds of the layer-quality guard on its strongly curved walls.</t>
  </si>
  <si>
    <t>Mesh quality (OpenFOAM checkMesh)</t>
  </si>
  <si>
    <t>Limits on the Limits sheet. Pass = every fluid and solid value within its limit.</t>
  </si>
  <si>
    <t>Fluid max non-orthogonality (°)</t>
  </si>
  <si>
    <t>Fluid avg non-orthogonality (°)</t>
  </si>
  <si>
    <t>Fluid max skewness</t>
  </si>
  <si>
    <t>Fluid max aspect ratio</t>
  </si>
  <si>
    <t>Fluid min scaled Jacobian</t>
  </si>
  <si>
    <t>Fluid cells with J &lt; 0.1</t>
  </si>
  <si>
    <t>Solid max non-orthogonality (°)</t>
  </si>
  <si>
    <t>Solid avg non-orthogonality (°)</t>
  </si>
  <si>
    <t>Solid max skewness</t>
  </si>
  <si>
    <t>Solid max aspect ratio</t>
  </si>
  <si>
    <t>Solid min scaled Jacobian</t>
  </si>
  <si>
    <t>checkMesh fluid</t>
  </si>
  <si>
    <t>checkMesh solid</t>
  </si>
  <si>
    <t>Pass</t>
  </si>
  <si>
    <t>Mesh OK</t>
  </si>
  <si>
    <t>Worst fluid values are in the thin first wall-layer cells (13.3 um high in a 300 um atom on the pin-fin plates, 8.8 um in a 200 um atom on the TPMS plates).</t>
  </si>
  <si>
    <t>Skewness 3.44-3.56 is in the 2-4 band that most solvers handle without special treatment. TPMS cases use 2 non-orthogonal correctors, pin-fin cases 1.</t>
  </si>
  <si>
    <t>TPMS solid checkMesh values were taken before the solid outer walls were placed on the CAD (mean node move 24 um); the solid min scaled Jacobian is from the final export check.</t>
  </si>
  <si>
    <t>Pin-fin solid average non-orthogonality was not recorded.</t>
  </si>
  <si>
    <t>Geometric accuracy and interface match</t>
  </si>
  <si>
    <t>Distance of mesh wall nodes from the STL, mesh volume against CAD volume, and fluid- vs solid-side interface area.</t>
  </si>
  <si>
    <t>Fluid wall deviation mean (µm)</t>
  </si>
  <si>
    <t>Fluid wall deviation max (µm)</t>
  </si>
  <si>
    <t>Solid outer walls deviation mean (µm)</t>
  </si>
  <si>
    <t>Solid outer walls deviation max (µm)</t>
  </si>
  <si>
    <t>Interface area, fluid side (mm²)</t>
  </si>
  <si>
    <t>Interface area, solid side (mm²)</t>
  </si>
  <si>
    <t>Interface area difference</t>
  </si>
  <si>
    <t>Identical interface faces</t>
  </si>
  <si>
    <t>Fluid mean deviation / atom</t>
  </si>
  <si>
    <t>Fluid max deviation / atom</t>
  </si>
  <si>
    <t>Interface area difference = (fluid side - solid side) / solid side. Identical face = all its nodes coincide on both sides of the interface.</t>
  </si>
  <si>
    <t>The solid's interface nodes take the fluid's positions, so on the interface the solid has the fluid's deviation; 'solid outer walls' are the solid walls not touching the fluid.</t>
  </si>
  <si>
    <t>TPMS solid outer walls: 99 % of nodes within 35 um; the max of 183 um is at a few nodes where the cell-quality guard limited the move. Pin-fin solid outer-wall max not recorded.</t>
  </si>
  <si>
    <t>Fluid deviation is set by slightly rounded sharp edges and, on the TPMS plates, by curved 0.4 mm walls that are two atoms thick.</t>
  </si>
  <si>
    <t>Wall layers and y+</t>
  </si>
  <si>
    <t>Layer heights are formulas from the number of layers, growth ratio and height cap (0.4 x atom size).</t>
  </si>
  <si>
    <t>Layers</t>
  </si>
  <si>
    <t>Growth ratio</t>
  </si>
  <si>
    <t>Height cap (x atom)</t>
  </si>
  <si>
    <t>Atom size (µm)</t>
  </si>
  <si>
    <t>Total layer height (µm)</t>
  </si>
  <si>
    <t>First layer (µm)</t>
  </si>
  <si>
    <t>Last layer (µm)</t>
  </si>
  <si>
    <t>First core cell (µm)</t>
  </si>
  <si>
    <t>Core cell / last layer</t>
  </si>
  <si>
    <t>Layer coverage</t>
  </si>
  <si>
    <t>y+ mean</t>
  </si>
  <si>
    <t>y+ max</t>
  </si>
  <si>
    <t>Mean y+ below limit</t>
  </si>
  <si>
    <t>Coverage above limit</t>
  </si>
  <si>
    <t>Growth ratio vs guideline</t>
  </si>
  <si>
    <t>y+ on the fluid side of the interface at the end of the run. The wall treatment is valid at any y+, so the faces with y+ 4-5 are still handled correctly.</t>
  </si>
  <si>
    <t>Lidinoid max y+ 30.2: most likely on the 0.165 % of its wall without layers, where the first cell is a full atom.</t>
  </si>
  <si>
    <t>Core cell / last layer about 4.7: a test with a smoother transition (6 layers, cap 0.6 x atom, ratio about 2.3) is pending.</t>
  </si>
  <si>
    <t>Thermal-hydraulic results</t>
  </si>
  <si>
    <t>10 L/min, 2000 W, inlet 293 K. Final values at the end of the run; band = lowest and highest value over iterations 2500-4000.</t>
  </si>
  <si>
    <t>Pressure drop (Pa)</t>
  </si>
  <si>
    <t>Pressure drop band min (kPa)</t>
  </si>
  <si>
    <t>Pressure drop band max (kPa)</t>
  </si>
  <si>
    <t>Tmax band min (K)</t>
  </si>
  <si>
    <t>Tmax band max (K)</t>
  </si>
  <si>
    <t>Heater Tavg (K)</t>
  </si>
  <si>
    <t>Outlet bulk T (K)</t>
  </si>
  <si>
    <t>Heater Tmax (°C)</t>
  </si>
  <si>
    <t>Heater Tavg (°C)</t>
  </si>
  <si>
    <t>Outlet bulk T (°C)</t>
  </si>
  <si>
    <t>Water temperature rise (K)</t>
  </si>
  <si>
    <t>Thermal resistance, Tmax (mK/W)</t>
  </si>
  <si>
    <t>Thermal resistance, Tavg (mK/W)</t>
  </si>
  <si>
    <t>Pumping power (W)</t>
  </si>
  <si>
    <t>Pressure drop band width (kPa)</t>
  </si>
  <si>
    <t>Tmax band width (K)</t>
  </si>
  <si>
    <t>Thermal resistance = (T - T_in) / heater power. Pumping power = pressure drop x volume flow (mass flow / inlet density).</t>
  </si>
  <si>
    <t>The pin-fin flows shed vortices; the band is the uncertainty of a steady-state result. In the energy-only stage the flow is frozen, so the final pressure drop is the value at iteration 4000.</t>
  </si>
  <si>
    <t>Lidinoid and Neovius were simulated on meshes whose solid outer walls were not yet placed on the CAD (mean offset 24 um). On the gyroid this difference changed Tmax by 0.08 K and the pressure drop by less than 0.01 kPa. Runs on the final meshes are in progress.</t>
  </si>
  <si>
    <t>Energy conservation</t>
  </si>
  <si>
    <t>Heat values from wallHeatFlux at the end of the run. Heat to water = mass flow x cp x (outlet bulk T - T_in).</t>
  </si>
  <si>
    <t>Heater power (W)</t>
  </si>
  <si>
    <t>Heat leaving the solid (W)</t>
  </si>
  <si>
    <t>Heat entering the fluid (W)</t>
  </si>
  <si>
    <t>Mass flow (kg/s)</t>
  </si>
  <si>
    <t>Heat to the water (W)</t>
  </si>
  <si>
    <t>Overall balance</t>
  </si>
  <si>
    <t>Fluid balance</t>
  </si>
  <si>
    <t>Solid balance</t>
  </si>
  <si>
    <t>Energy residual, last iteration</t>
  </si>
  <si>
    <t>Interface heat error = (heat entering the fluid - heat leaving the solid) / heat leaving the solid; positive = heat created at the interface.</t>
  </si>
  <si>
    <t>On the TPMS plates the small interface error comes from the 0.5-1 % of interface faces that are not identical on both sides.</t>
  </si>
  <si>
    <t>Mass flow is conserved to about 1e-7 relative on the pin-fin plates. Lidinoid and Neovius: see the note on the Results sheet.</t>
  </si>
  <si>
    <t>Comparison with SimScale: parallel pin-fin, heater on the whole bottom face</t>
  </si>
  <si>
    <t>Same geometry and boundary conditions (2000 W, 10 L/min, inlet 19.85 °C). Differences are ours minus SimScale, in K or kPa.</t>
  </si>
  <si>
    <t>Quantity</t>
  </si>
  <si>
    <t>This mesher (OpenFOAM)</t>
  </si>
  <si>
    <t>Difference (ours - SimScale)</t>
  </si>
  <si>
    <t>Difference unit</t>
  </si>
  <si>
    <t>Heated area</t>
  </si>
  <si>
    <t>mm²</t>
  </si>
  <si>
    <t>Whole bottom face</t>
  </si>
  <si>
    <t>Outlet water temperature, area average</t>
  </si>
  <si>
    <t>°C</t>
  </si>
  <si>
    <t>Ours: face average 295.83 K</t>
  </si>
  <si>
    <t>Outlet water temperature, mass-weighted</t>
  </si>
  <si>
    <t>SimScale reports the area average</t>
  </si>
  <si>
    <t>Heater maximum temperature</t>
  </si>
  <si>
    <t>Ours 313.71 K; band 40.30-40.73 °C over iterations 2500-4000</t>
  </si>
  <si>
    <t>Heater average temperature</t>
  </si>
  <si>
    <t>Ours 306.92 K</t>
  </si>
  <si>
    <t>Heater minimum temperature</t>
  </si>
  <si>
    <t>Not monitored in our run</t>
  </si>
  <si>
    <t>Pressure drop</t>
  </si>
  <si>
    <t>kPa</t>
  </si>
  <si>
    <t>Ours: mean over iterations 2500-4000, band 4.62-5.23 kPa</t>
  </si>
  <si>
    <t>Inlet temperature</t>
  </si>
  <si>
    <t>Same in both</t>
  </si>
  <si>
    <t>Water temperature rise, area average</t>
  </si>
  <si>
    <t>Expected bulk rise for 2000 W (Q / (ṁ cp))</t>
  </si>
  <si>
    <t>Our energy balance (heat to water / heater power)</t>
  </si>
  <si>
    <t>%</t>
  </si>
  <si>
    <t>Our interface heat error</t>
  </si>
  <si>
    <t>Settings</t>
  </si>
  <si>
    <t>Setting</t>
  </si>
  <si>
    <t>Mesh</t>
  </si>
  <si>
    <t>4.93 M fluid + 1.68 M solid cells, hexahedral, 0.3 mm</t>
  </si>
  <si>
    <t>Automatic mesh, 'Perfect' setting; cell count not reported</t>
  </si>
  <si>
    <t>Mean y+ 0.40 (max 4.13), viscous sublayer resolved</t>
  </si>
  <si>
    <t>y+ not below 1</t>
  </si>
  <si>
    <t>Convection scheme (velocity, energy)</t>
  </si>
  <si>
    <t>Second order</t>
  </si>
  <si>
    <t>First order</t>
  </si>
  <si>
    <t>Iterations</t>
  </si>
  <si>
    <t>4000 coupled + 1000 energy only</t>
  </si>
  <si>
    <t>1000</t>
  </si>
  <si>
    <t>SimScale also reports channel velocities at x = 0: 0.80-0.83 m/s near the side walls and 0.29-0.36 m/s in the middle (not monitored in our run).</t>
  </si>
  <si>
    <t>Our higher pressure drop and cooler heater are the direction expected from a boundary layer resolved to y+ 0.4 with a second-order scheme. Which is closer to a real plate would need a measurement.</t>
  </si>
  <si>
    <t>Computational cost</t>
  </si>
  <si>
    <t>Meshing on one GPU node; solver on 96 MPI processes (OpenFOAM v2312, RWTH CLAIX).</t>
  </si>
  <si>
    <t>Total cells (with wall layers)</t>
  </si>
  <si>
    <t>Meshing time (min)</t>
  </si>
  <si>
    <t>Solver wall time, 5000 iterations (h)</t>
  </si>
  <si>
    <t>MPI processes</t>
  </si>
  <si>
    <t>Solver core-hours</t>
  </si>
  <si>
    <t>Solver time per iteration (s)</t>
  </si>
  <si>
    <t>STL to result (h)</t>
  </si>
  <si>
    <t>Pin-fin and gyroid solver times include one restart from a saved state.</t>
  </si>
  <si>
    <t>Meshing node: 4 CPU cores, 1 GPU, 64 GB memory.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</si>
</sst>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0.000"/>
    <numFmt numFmtId="166" formatCode="0.000%"/>
    <numFmt numFmtId="167" formatCode="0.0%"/>
    <numFmt numFmtId="168" formatCode="\+0.00;\-0.00;0.00"/>
    <numFmt numFmtId="169" formatCode="0.000E+00"/>
    <numFmt numFmtId="170" formatCode="0.000000"/>
    <numFmt numFmtId="171" formatCode="\+0.00%;\-0.00%;0.00%"/>
    <numFmt numFmtId="172" formatCode="0.0000"/>
    <numFmt numFmtId="173" formatCode="\+0.000%;\-0.000%;0.000%"/>
    <numFmt numFmtId="174" formatCode="0.0000%"/>
    <numFmt numFmtId="175" formatCode="0.0E+00"/>
    <numFmt numFmtId="176" formatCode="\+#,##0;\-#,##0;0"/>
  </numFmts>
  <fonts count="9" x14ac:knownFonts="1">
    <font>
      <sz val="11"/>
      <color theme="1"/>
      <name val="Calibri"/>
      <family val="2"/>
      <charset val="1"/>
    </font>
    <font>
      <b/>
      <sz val="14"/>
      <color rgb="FF1F3864"/>
      <name val="Calibri"/>
      <charset val="1"/>
    </font>
    <font>
      <i/>
      <sz val="10"/>
      <color rgb="FF595959"/>
      <name val="Calibri"/>
      <charset val="1"/>
    </font>
    <font>
      <b/>
      <sz val="11"/>
      <color rgb="FFFFFFFF"/>
      <name val="Calibri"/>
      <charset val="1"/>
    </font>
    <font>
      <sz val="11"/>
      <name val="Calibri"/>
      <charset val="1"/>
    </font>
    <font>
      <b/>
      <sz val="11"/>
      <name val="Calibri"/>
      <charset val="1"/>
    </font>
    <font>
      <b/>
      <sz val="11"/>
      <color rgb="FF1F3864"/>
      <name val="Calibri"/>
      <charset val="1"/>
    </font>
    <font>
      <sz val="11"/>
      <color rgb="FF2E75B6"/>
      <name val="Calibri"/>
      <charset val="1"/>
    </font>
    <font>
      <b/>
      <sz val="10"/>
      <color rgb="FF1F3864"/>
      <name val="Calibri"/>
      <charset val="1"/>
    </font>
  </fonts>
  <fills count="4">
    <fill>
      <patternFill patternType="none"/>
    </fill>
    <fill>
      <patternFill patternType="gray125"/>
    </fill>
    <fill>
      <patternFill patternType="solid">
        <fgColor rgb="FF1F3864"/>
        <bgColor rgb="FF333333"/>
      </patternFill>
    </fill>
    <fill>
      <patternFill patternType="solid">
        <fgColor rgb="FFDDE4F0"/>
        <bgColor rgb="FFCCFFFF"/>
      </patternFill>
    </fill>
  </fills>
  <borders count="2">
    <border>
      <left/>
      <right/>
      <top/>
      <bottom/>
      <diagonal/>
    </border>
    <border>
      <left/>
      <right/>
      <top/>
      <bottom style="thin">
        <color rgb="FFBFBFBF"/>
      </bottom>
      <diagonal/>
    </border>
  </borders>
  <cellStyleXfs count="1">
    <xf numFmtId="0" fontId="0" fillId="0" borderId="0"/>
  </cellStyleXfs>
  <cellXfs count="38">
    <xf numFmtId="0" fontId="0" fillId="0" borderId="0" xfId="0"/>
    <xf numFmtId="0" fontId="4" fillId="0" borderId="1" xfId="0" applyFont="1" applyBorder="1" applyAlignment="1">
      <alignment vertical="center" wrapText="1"/>
    </xf>
    <xf numFmtId="0" fontId="8" fillId="3" borderId="0" xfId="0" applyFont="1" applyFill="1" applyAlignment="1">
      <alignment horizontal="center" vertical="center" wrapText="1"/>
    </xf>
    <xf numFmtId="0" fontId="1" fillId="0" borderId="0" xfId="0" applyFont="1"/>
    <xf numFmtId="0" fontId="2" fillId="0" borderId="0" xfId="0" applyFont="1"/>
    <xf numFmtId="0" fontId="3" fillId="2" borderId="0" xfId="0" applyFont="1" applyFill="1" applyAlignment="1">
      <alignment horizontal="center" vertical="center" wrapText="1"/>
    </xf>
    <xf numFmtId="0" fontId="4" fillId="0" borderId="1" xfId="0" applyFont="1" applyBorder="1"/>
    <xf numFmtId="0" fontId="4" fillId="0" borderId="1" xfId="0" applyFont="1" applyBorder="1" applyAlignment="1">
      <alignment vertical="center" wrapText="1"/>
    </xf>
    <xf numFmtId="1" fontId="4" fillId="0" borderId="1" xfId="0" applyNumberFormat="1" applyFont="1" applyBorder="1"/>
    <xf numFmtId="0" fontId="5" fillId="0" borderId="1" xfId="0" applyFont="1" applyBorder="1"/>
    <xf numFmtId="164" fontId="4" fillId="0" borderId="1" xfId="0" applyNumberFormat="1" applyFont="1" applyBorder="1"/>
    <xf numFmtId="2" fontId="4" fillId="0" borderId="1" xfId="0" applyNumberFormat="1" applyFont="1" applyBorder="1"/>
    <xf numFmtId="165" fontId="4" fillId="0" borderId="1" xfId="0" applyNumberFormat="1" applyFont="1" applyBorder="1"/>
    <xf numFmtId="166" fontId="4" fillId="0" borderId="1" xfId="0" applyNumberFormat="1" applyFont="1" applyBorder="1"/>
    <xf numFmtId="167" fontId="4" fillId="0" borderId="1" xfId="0" applyNumberFormat="1" applyFont="1" applyBorder="1"/>
    <xf numFmtId="10" fontId="4" fillId="0" borderId="1" xfId="0" applyNumberFormat="1" applyFont="1" applyBorder="1"/>
    <xf numFmtId="3" fontId="4" fillId="0" borderId="1" xfId="0" applyNumberFormat="1" applyFont="1" applyBorder="1"/>
    <xf numFmtId="0" fontId="6" fillId="0" borderId="0" xfId="0" applyFont="1"/>
    <xf numFmtId="168" fontId="4" fillId="0" borderId="1" xfId="0" applyNumberFormat="1" applyFont="1" applyBorder="1"/>
    <xf numFmtId="2" fontId="7" fillId="0" borderId="1" xfId="0" applyNumberFormat="1" applyFont="1" applyBorder="1"/>
    <xf numFmtId="3" fontId="7" fillId="0" borderId="1" xfId="0" applyNumberFormat="1" applyFont="1" applyBorder="1"/>
    <xf numFmtId="169" fontId="7" fillId="0" borderId="1" xfId="0" applyNumberFormat="1" applyFont="1" applyBorder="1"/>
    <xf numFmtId="170" fontId="7" fillId="0" borderId="1" xfId="0" applyNumberFormat="1" applyFont="1" applyBorder="1"/>
    <xf numFmtId="0" fontId="4" fillId="0" borderId="0" xfId="0" applyFont="1"/>
    <xf numFmtId="1" fontId="7" fillId="0" borderId="1" xfId="0" applyNumberFormat="1" applyFont="1" applyBorder="1"/>
    <xf numFmtId="164" fontId="7" fillId="0" borderId="1" xfId="0" applyNumberFormat="1" applyFont="1" applyBorder="1"/>
    <xf numFmtId="165" fontId="7" fillId="0" borderId="1" xfId="0" applyNumberFormat="1" applyFont="1" applyBorder="1"/>
    <xf numFmtId="0" fontId="7" fillId="0" borderId="1" xfId="0" applyFont="1" applyBorder="1"/>
    <xf numFmtId="171" fontId="7" fillId="0" borderId="1" xfId="0" applyNumberFormat="1" applyFont="1" applyBorder="1"/>
    <xf numFmtId="4" fontId="7" fillId="0" borderId="1" xfId="0" applyNumberFormat="1" applyFont="1" applyBorder="1"/>
    <xf numFmtId="171" fontId="4" fillId="0" borderId="1" xfId="0" applyNumberFormat="1" applyFont="1" applyBorder="1"/>
    <xf numFmtId="10" fontId="7" fillId="0" borderId="1" xfId="0" applyNumberFormat="1" applyFont="1" applyBorder="1"/>
    <xf numFmtId="166" fontId="7" fillId="0" borderId="1" xfId="0" applyNumberFormat="1" applyFont="1" applyBorder="1"/>
    <xf numFmtId="172" fontId="4" fillId="0" borderId="1" xfId="0" applyNumberFormat="1" applyFont="1" applyBorder="1"/>
    <xf numFmtId="173" fontId="4" fillId="0" borderId="1" xfId="0" applyNumberFormat="1" applyFont="1" applyBorder="1"/>
    <xf numFmtId="174" fontId="4" fillId="0" borderId="1" xfId="0" applyNumberFormat="1" applyFont="1" applyBorder="1"/>
    <xf numFmtId="175" fontId="7" fillId="0" borderId="1" xfId="0" applyNumberFormat="1" applyFont="1" applyBorder="1"/>
    <xf numFmtId="176" fontId="4" fillId="0" borderId="1"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D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
  <sheetViews>
    <sheetView showGridLines="0" zoomScaleNormal="100" workbookViewId="0"/>
  </sheetViews>
  <sheetFormatPr defaultColWidth="8.6640625" defaultRowHeight="14.4" x14ac:dyDescent="0.3"/>
  <cols>
    <col min="1" max="1" width="46" customWidth="1"/>
    <col min="2" max="2" width="18" customWidth="1"/>
    <col min="3" max="4" width="14" customWidth="1"/>
    <col min="5" max="6" width="16" customWidth="1"/>
  </cols>
  <sheetData>
    <row r="1" spans="1:6" ht="18" x14ac:dyDescent="0.35">
      <c r="A1" s="3" t="s">
        <v>0</v>
      </c>
    </row>
    <row r="2" spans="1:6" x14ac:dyDescent="0.3">
      <c r="A2" s="4" t="s">
        <v>1</v>
      </c>
    </row>
    <row r="4" spans="1:6" ht="48" customHeight="1" x14ac:dyDescent="0.3">
      <c r="A4" s="5" t="s">
        <v>2</v>
      </c>
      <c r="B4" s="5" t="s">
        <v>3</v>
      </c>
      <c r="C4" s="5" t="s">
        <v>4</v>
      </c>
      <c r="D4" s="5" t="s">
        <v>5</v>
      </c>
      <c r="E4" s="5" t="s">
        <v>6</v>
      </c>
      <c r="F4" s="5" t="s">
        <v>7</v>
      </c>
    </row>
    <row r="5" spans="1:6" ht="28.8" x14ac:dyDescent="0.3">
      <c r="A5" s="6" t="s">
        <v>8</v>
      </c>
      <c r="B5" s="7" t="s">
        <v>9</v>
      </c>
      <c r="C5" s="8">
        <f>COUNTIF('Mesh quality'!N5:N11,"Mesh OK")+COUNTIF('Mesh quality'!O5:O11,"Mesh OK")</f>
        <v>14</v>
      </c>
      <c r="D5" s="8"/>
      <c r="E5" s="9" t="str">
        <f>IF(C5=14,"Pass","Fail")</f>
        <v>Pass</v>
      </c>
      <c r="F5" s="6" t="s">
        <v>10</v>
      </c>
    </row>
    <row r="6" spans="1:6" x14ac:dyDescent="0.3">
      <c r="A6" s="6" t="s">
        <v>11</v>
      </c>
      <c r="B6" s="8" t="e">
        <f>#REF!</f>
        <v>#REF!</v>
      </c>
      <c r="C6" s="8">
        <f>MIN('Mesh quality'!M5:M11)</f>
        <v>0</v>
      </c>
      <c r="D6" s="8">
        <f>MAX('Mesh quality'!M5:M11)</f>
        <v>0</v>
      </c>
      <c r="E6" s="9" t="e">
        <f>IF(D6=#REF!,"Pass","Fail")</f>
        <v>#REF!</v>
      </c>
      <c r="F6" s="6" t="s">
        <v>10</v>
      </c>
    </row>
    <row r="7" spans="1:6" x14ac:dyDescent="0.3">
      <c r="A7" s="6" t="s">
        <v>12</v>
      </c>
      <c r="B7" s="10" t="e">
        <f>#REF!</f>
        <v>#REF!</v>
      </c>
      <c r="C7" s="10">
        <f>MIN('Mesh quality'!B5:B11)</f>
        <v>49.9</v>
      </c>
      <c r="D7" s="10">
        <f>MAX('Mesh quality'!B5:B11)</f>
        <v>69.5</v>
      </c>
      <c r="E7" s="9" t="e">
        <f>IF(D7&lt;=B7,"Pass","Fail")</f>
        <v>#REF!</v>
      </c>
      <c r="F7" s="6" t="s">
        <v>10</v>
      </c>
    </row>
    <row r="8" spans="1:6" x14ac:dyDescent="0.3">
      <c r="A8" s="6" t="s">
        <v>13</v>
      </c>
      <c r="B8" s="10" t="e">
        <f>#REF!</f>
        <v>#REF!</v>
      </c>
      <c r="C8" s="10">
        <f>MIN('Mesh quality'!H5:H11)</f>
        <v>18.899999999999999</v>
      </c>
      <c r="D8" s="10">
        <f>MAX('Mesh quality'!H5:H11)</f>
        <v>29.3</v>
      </c>
      <c r="E8" s="9" t="e">
        <f>IF(D8&lt;=B8,"Pass","Fail")</f>
        <v>#REF!</v>
      </c>
      <c r="F8" s="6" t="s">
        <v>10</v>
      </c>
    </row>
    <row r="9" spans="1:6" x14ac:dyDescent="0.3">
      <c r="A9" s="6" t="s">
        <v>14</v>
      </c>
      <c r="B9" s="11" t="e">
        <f>#REF!</f>
        <v>#REF!</v>
      </c>
      <c r="C9" s="11">
        <f>MIN('Mesh quality'!D5:D11)</f>
        <v>3.44</v>
      </c>
      <c r="D9" s="11">
        <f>MAX('Mesh quality'!D5:D11)</f>
        <v>3.56</v>
      </c>
      <c r="E9" s="9" t="e">
        <f>IF(D9&lt;=B9,"Pass","Fail")</f>
        <v>#REF!</v>
      </c>
      <c r="F9" s="6" t="s">
        <v>10</v>
      </c>
    </row>
    <row r="10" spans="1:6" x14ac:dyDescent="0.3">
      <c r="A10" s="6" t="s">
        <v>15</v>
      </c>
      <c r="B10" s="10" t="e">
        <f>#REF!</f>
        <v>#REF!</v>
      </c>
      <c r="C10" s="10">
        <f>MIN('Mesh quality'!E5:E11)</f>
        <v>39.299999999999997</v>
      </c>
      <c r="D10" s="10">
        <f>MAX('Mesh quality'!E5:E11)</f>
        <v>102.9</v>
      </c>
      <c r="E10" s="9" t="e">
        <f>IF(D10&lt;=B10,"Pass","Fail")</f>
        <v>#REF!</v>
      </c>
      <c r="F10" s="6" t="s">
        <v>10</v>
      </c>
    </row>
    <row r="11" spans="1:6" x14ac:dyDescent="0.3">
      <c r="A11" s="6" t="s">
        <v>16</v>
      </c>
      <c r="B11" s="12" t="e">
        <f>#REF!</f>
        <v>#REF!</v>
      </c>
      <c r="C11" s="12">
        <f>MIN('Mesh quality'!F5:F11)</f>
        <v>0.05</v>
      </c>
      <c r="D11" s="12">
        <f>MAX('Mesh quality'!F5:F11)</f>
        <v>7.4999999999999997E-2</v>
      </c>
      <c r="E11" s="9" t="e">
        <f>IF(C11&gt;B11,"Pass","Fail")</f>
        <v>#REF!</v>
      </c>
      <c r="F11" s="6" t="s">
        <v>10</v>
      </c>
    </row>
    <row r="12" spans="1:6" x14ac:dyDescent="0.3">
      <c r="A12" s="6" t="s">
        <v>17</v>
      </c>
      <c r="B12" s="12" t="e">
        <f>#REF!</f>
        <v>#REF!</v>
      </c>
      <c r="C12" s="12">
        <f>MIN('Mesh quality'!L5:L11)</f>
        <v>0.20030000000000001</v>
      </c>
      <c r="D12" s="12">
        <f>MAX('Mesh quality'!L5:L11)</f>
        <v>0.443</v>
      </c>
      <c r="E12" s="9" t="e">
        <f>IF(C12&gt;B12,"Pass","Fail")</f>
        <v>#REF!</v>
      </c>
      <c r="F12" s="6" t="s">
        <v>10</v>
      </c>
    </row>
    <row r="13" spans="1:6" x14ac:dyDescent="0.3">
      <c r="A13" s="6" t="s">
        <v>18</v>
      </c>
      <c r="B13" s="11" t="e">
        <f>#REF!</f>
        <v>#REF!</v>
      </c>
      <c r="C13" s="11">
        <f>MIN('Wall resolution'!L5:L11)</f>
        <v>0.4</v>
      </c>
      <c r="D13" s="11">
        <f>MAX('Wall resolution'!L5:L11)</f>
        <v>0.6</v>
      </c>
      <c r="E13" s="9" t="e">
        <f>IF(D13&lt;B13,"Pass","Fail")</f>
        <v>#REF!</v>
      </c>
      <c r="F13" s="6" t="s">
        <v>19</v>
      </c>
    </row>
    <row r="14" spans="1:6" x14ac:dyDescent="0.3">
      <c r="A14" s="6" t="s">
        <v>20</v>
      </c>
      <c r="B14" s="13" t="e">
        <f>#REF!</f>
        <v>#REF!</v>
      </c>
      <c r="C14" s="13">
        <f>MIN('Wall resolution'!K5:K11)</f>
        <v>0.99834999999999996</v>
      </c>
      <c r="D14" s="13">
        <f>MAX('Wall resolution'!K5:K11)</f>
        <v>1</v>
      </c>
      <c r="E14" s="9" t="e">
        <f>IF(C14&gt;=B14,"Pass","Fail")</f>
        <v>#REF!</v>
      </c>
      <c r="F14" s="6" t="s">
        <v>19</v>
      </c>
    </row>
    <row r="15" spans="1:6" x14ac:dyDescent="0.3">
      <c r="A15" s="6" t="s">
        <v>21</v>
      </c>
      <c r="B15" s="11" t="e">
        <f>#REF!</f>
        <v>#REF!</v>
      </c>
      <c r="C15" s="11">
        <f>MIN('Wall resolution'!C5:C11)</f>
        <v>1.3</v>
      </c>
      <c r="D15" s="11">
        <f>MAX('Wall resolution'!C5:C11)</f>
        <v>1.3</v>
      </c>
      <c r="E15" s="9" t="e">
        <f>IF(D15&lt;=B15,"Within","Above guideline")</f>
        <v>#REF!</v>
      </c>
      <c r="F15" s="6" t="s">
        <v>19</v>
      </c>
    </row>
    <row r="16" spans="1:6" x14ac:dyDescent="0.3">
      <c r="A16" s="6" t="s">
        <v>22</v>
      </c>
      <c r="B16" s="14" t="e">
        <f>#REF!</f>
        <v>#REF!</v>
      </c>
      <c r="C16" s="14">
        <f>MIN(Geometry!M5:M11)</f>
        <v>4.2666666666666672E-2</v>
      </c>
      <c r="D16" s="14">
        <f>MAX(Geometry!M5:M11)</f>
        <v>0.19600000000000001</v>
      </c>
      <c r="E16" s="9" t="e">
        <f>IF(D16&lt;=B16,"Pass","Fail")</f>
        <v>#REF!</v>
      </c>
      <c r="F16" s="6" t="s">
        <v>23</v>
      </c>
    </row>
    <row r="17" spans="1:6" x14ac:dyDescent="0.3">
      <c r="A17" s="6" t="s">
        <v>24</v>
      </c>
      <c r="B17" s="14" t="e">
        <f>#REF!</f>
        <v>#REF!</v>
      </c>
      <c r="C17" s="14">
        <f>MIN(Geometry!N5:N11)</f>
        <v>0.5036666666666666</v>
      </c>
      <c r="D17" s="14">
        <f>MAX(Geometry!N5:N11)</f>
        <v>0.80099999999999993</v>
      </c>
      <c r="E17" s="9" t="e">
        <f>IF(D17&lt;=B17,"Pass","Fail")</f>
        <v>#REF!</v>
      </c>
      <c r="F17" s="6" t="s">
        <v>23</v>
      </c>
    </row>
    <row r="18" spans="1:6" x14ac:dyDescent="0.3">
      <c r="A18" s="6" t="s">
        <v>25</v>
      </c>
      <c r="B18" s="6" t="s">
        <v>26</v>
      </c>
      <c r="C18" s="10">
        <f>MIN(Geometry!E5:E11)</f>
        <v>1.6</v>
      </c>
      <c r="D18" s="10">
        <f>MAX(Geometry!E5:E11)</f>
        <v>2.2000000000000002</v>
      </c>
      <c r="E18" s="9" t="str">
        <f>"-"</f>
        <v>-</v>
      </c>
      <c r="F18" s="6" t="s">
        <v>23</v>
      </c>
    </row>
    <row r="19" spans="1:6" x14ac:dyDescent="0.3">
      <c r="A19" s="6" t="s">
        <v>27</v>
      </c>
      <c r="B19" s="14" t="e">
        <f>#REF!</f>
        <v>#REF!</v>
      </c>
      <c r="C19" s="15"/>
      <c r="D19" s="15">
        <f>MAX(MAX(Geometry!G5:G11),-MIN(Geometry!G5:G11))</f>
        <v>2E-3</v>
      </c>
      <c r="E19" s="9" t="e">
        <f>IF(D19&lt;=B19,"Pass","Fail")</f>
        <v>#REF!</v>
      </c>
      <c r="F19" s="6" t="s">
        <v>23</v>
      </c>
    </row>
    <row r="20" spans="1:6" x14ac:dyDescent="0.3">
      <c r="A20" s="6" t="s">
        <v>28</v>
      </c>
      <c r="B20" s="14" t="e">
        <f>#REF!</f>
        <v>#REF!</v>
      </c>
      <c r="C20" s="15"/>
      <c r="D20" s="15">
        <f>MAX(MAX(Geometry!H5:H11),-MIN(Geometry!H5:H11))</f>
        <v>3.2000000000000002E-3</v>
      </c>
      <c r="E20" s="9" t="e">
        <f>IF(D20&lt;=B20,"Pass","Fail")</f>
        <v>#REF!</v>
      </c>
      <c r="F20" s="6" t="s">
        <v>23</v>
      </c>
    </row>
    <row r="21" spans="1:6" x14ac:dyDescent="0.3">
      <c r="A21" s="6" t="s">
        <v>29</v>
      </c>
      <c r="B21" s="14" t="e">
        <f>#REF!</f>
        <v>#REF!</v>
      </c>
      <c r="C21" s="15"/>
      <c r="D21" s="15">
        <f>MAX(MAX(Geometry!K5:K11),-MIN(Geometry!K5:K11))</f>
        <v>5.5231250894850357E-4</v>
      </c>
      <c r="E21" s="9" t="e">
        <f>IF(D21&lt;=B21,"Pass","Fail")</f>
        <v>#REF!</v>
      </c>
      <c r="F21" s="6" t="s">
        <v>23</v>
      </c>
    </row>
    <row r="22" spans="1:6" x14ac:dyDescent="0.3">
      <c r="A22" s="6" t="s">
        <v>30</v>
      </c>
      <c r="B22" s="6" t="s">
        <v>26</v>
      </c>
      <c r="C22" s="15">
        <f>MIN(Geometry!L5:L11)</f>
        <v>0.99029999999999996</v>
      </c>
      <c r="D22" s="15">
        <f>MAX(Geometry!L5:L11)</f>
        <v>1</v>
      </c>
      <c r="E22" s="9" t="str">
        <f>"-"</f>
        <v>-</v>
      </c>
      <c r="F22" s="6" t="s">
        <v>23</v>
      </c>
    </row>
    <row r="23" spans="1:6" x14ac:dyDescent="0.3">
      <c r="A23" s="6" t="s">
        <v>31</v>
      </c>
      <c r="B23" s="13" t="e">
        <f>"within "&amp;TEXT(#REF!,"0%")&amp;" of 2000 W"</f>
        <v>#REF!</v>
      </c>
      <c r="C23" s="13">
        <f>MIN(Energy!I5:I11)</f>
        <v>0.9999087885495852</v>
      </c>
      <c r="D23" s="13">
        <f>MAX(Energy!I5:I11)</f>
        <v>1.0012379259156465</v>
      </c>
      <c r="E23" s="9" t="e">
        <f>IF(AND(C23&gt;=1-#REF!,D23&lt;=1+#REF!),"Pass","Fail")</f>
        <v>#REF!</v>
      </c>
      <c r="F23" s="6" t="s">
        <v>32</v>
      </c>
    </row>
    <row r="24" spans="1:6" x14ac:dyDescent="0.3">
      <c r="A24" s="6" t="s">
        <v>33</v>
      </c>
      <c r="B24" s="14" t="e">
        <f>#REF!</f>
        <v>#REF!</v>
      </c>
      <c r="C24" s="13"/>
      <c r="D24" s="13">
        <f>MAX(MAX(Energy!H5:H11),-MIN(Energy!H5:H11))</f>
        <v>1.280457010317467E-3</v>
      </c>
      <c r="E24" s="9" t="e">
        <f>IF(D24&lt;=B24,"Pass","Fail")</f>
        <v>#REF!</v>
      </c>
      <c r="F24" s="6" t="s">
        <v>32</v>
      </c>
    </row>
    <row r="25" spans="1:6" x14ac:dyDescent="0.3">
      <c r="A25" s="6" t="s">
        <v>34</v>
      </c>
      <c r="B25" s="6" t="s">
        <v>26</v>
      </c>
      <c r="C25" s="16">
        <f>MIN('Mesh size'!F5:F11)</f>
        <v>3870064</v>
      </c>
      <c r="D25" s="16">
        <f>MAX('Mesh size'!F5:F11)</f>
        <v>10298975</v>
      </c>
      <c r="E25" s="9" t="str">
        <f t="shared" ref="E25:E31" si="0">"-"</f>
        <v>-</v>
      </c>
      <c r="F25" s="6" t="s">
        <v>35</v>
      </c>
    </row>
    <row r="26" spans="1:6" x14ac:dyDescent="0.3">
      <c r="A26" s="6" t="s">
        <v>36</v>
      </c>
      <c r="B26" s="6" t="s">
        <v>26</v>
      </c>
      <c r="C26" s="16">
        <f>MIN('Mesh size'!G5:G11)</f>
        <v>4498996</v>
      </c>
      <c r="D26" s="16">
        <f>MAX('Mesh size'!G5:G11)</f>
        <v>12332168</v>
      </c>
      <c r="E26" s="9" t="str">
        <f t="shared" si="0"/>
        <v>-</v>
      </c>
      <c r="F26" s="6" t="s">
        <v>35</v>
      </c>
    </row>
    <row r="27" spans="1:6" x14ac:dyDescent="0.3">
      <c r="A27" s="6" t="s">
        <v>37</v>
      </c>
      <c r="B27" s="6" t="s">
        <v>26</v>
      </c>
      <c r="C27" s="16">
        <f>MIN('Mesh size'!L5:L11)</f>
        <v>6144592</v>
      </c>
      <c r="D27" s="16">
        <f>MAX('Mesh size'!L5:L11)</f>
        <v>18545147</v>
      </c>
      <c r="E27" s="9" t="str">
        <f t="shared" si="0"/>
        <v>-</v>
      </c>
      <c r="F27" s="6" t="s">
        <v>35</v>
      </c>
    </row>
    <row r="28" spans="1:6" x14ac:dyDescent="0.3">
      <c r="A28" s="6" t="s">
        <v>38</v>
      </c>
      <c r="B28" s="6" t="s">
        <v>26</v>
      </c>
      <c r="C28" s="16">
        <f>MIN('Mesh size'!M5:M11)</f>
        <v>6771666</v>
      </c>
      <c r="D28" s="16">
        <f>MAX('Mesh size'!M5:M11)</f>
        <v>20579348</v>
      </c>
      <c r="E28" s="9" t="str">
        <f t="shared" si="0"/>
        <v>-</v>
      </c>
      <c r="F28" s="6" t="s">
        <v>35</v>
      </c>
    </row>
    <row r="29" spans="1:6" x14ac:dyDescent="0.3">
      <c r="A29" s="6" t="s">
        <v>39</v>
      </c>
      <c r="B29" s="6" t="s">
        <v>26</v>
      </c>
      <c r="C29" s="10">
        <f>MIN('Meshing time'!L5:L11)</f>
        <v>6.1604999999999999</v>
      </c>
      <c r="D29" s="10">
        <f>MAX('Meshing time'!L5:L11)</f>
        <v>110.92749999999999</v>
      </c>
      <c r="E29" s="9" t="str">
        <f t="shared" si="0"/>
        <v>-</v>
      </c>
      <c r="F29" s="6" t="s">
        <v>40</v>
      </c>
    </row>
    <row r="30" spans="1:6" x14ac:dyDescent="0.3">
      <c r="A30" s="6" t="s">
        <v>41</v>
      </c>
      <c r="B30" s="6" t="s">
        <v>26</v>
      </c>
      <c r="C30" s="11">
        <f>MIN(Results!E5:E11)</f>
        <v>307.55256900000001</v>
      </c>
      <c r="D30" s="11">
        <f>MAX(Results!E5:E11)</f>
        <v>320.47801199999998</v>
      </c>
      <c r="E30" s="9" t="str">
        <f t="shared" si="0"/>
        <v>-</v>
      </c>
      <c r="F30" s="6" t="s">
        <v>42</v>
      </c>
    </row>
    <row r="31" spans="1:6" x14ac:dyDescent="0.3">
      <c r="A31" s="6" t="s">
        <v>43</v>
      </c>
      <c r="B31" s="6" t="s">
        <v>26</v>
      </c>
      <c r="C31" s="11">
        <f>MIN(Results!J5:J11)</f>
        <v>4.9801742999999998</v>
      </c>
      <c r="D31" s="11">
        <f>MAX(Results!J5:J11)</f>
        <v>45.113003499999998</v>
      </c>
      <c r="E31" s="9" t="str">
        <f t="shared" si="0"/>
        <v>-</v>
      </c>
      <c r="F31" s="6" t="s">
        <v>42</v>
      </c>
    </row>
    <row r="33" spans="1:6" x14ac:dyDescent="0.3">
      <c r="A33" s="17" t="s">
        <v>44</v>
      </c>
    </row>
    <row r="34" spans="1:6" x14ac:dyDescent="0.3">
      <c r="A34" s="6" t="s">
        <v>45</v>
      </c>
      <c r="D34" s="18">
        <f>SimScale!E6</f>
        <v>-8.9999999999999858E-2</v>
      </c>
      <c r="F34" s="6" t="s">
        <v>46</v>
      </c>
    </row>
    <row r="35" spans="1:6" x14ac:dyDescent="0.3">
      <c r="A35" s="6" t="s">
        <v>47</v>
      </c>
      <c r="D35" s="18">
        <f>SimScale!E8</f>
        <v>-1.269999999999996</v>
      </c>
      <c r="F35" s="6" t="s">
        <v>46</v>
      </c>
    </row>
    <row r="36" spans="1:6" x14ac:dyDescent="0.3">
      <c r="A36" s="6" t="s">
        <v>48</v>
      </c>
      <c r="D36" s="18">
        <f>SimScale!E9</f>
        <v>-2.8799999999999955</v>
      </c>
      <c r="F36" s="6" t="s">
        <v>46</v>
      </c>
    </row>
    <row r="37" spans="1:6" x14ac:dyDescent="0.3">
      <c r="A37" s="6" t="s">
        <v>49</v>
      </c>
      <c r="D37" s="18">
        <f>SimScale!E11</f>
        <v>0.66000000000000014</v>
      </c>
      <c r="F37" s="6" t="s">
        <v>46</v>
      </c>
    </row>
    <row r="39" spans="1:6" x14ac:dyDescent="0.3">
      <c r="A39" s="17" t="s">
        <v>50</v>
      </c>
    </row>
    <row r="40" spans="1:6" x14ac:dyDescent="0.3">
      <c r="A40" s="4" t="s">
        <v>51</v>
      </c>
    </row>
    <row r="41" spans="1:6" x14ac:dyDescent="0.3">
      <c r="A41" s="4" t="s">
        <v>52</v>
      </c>
    </row>
    <row r="42" spans="1:6" x14ac:dyDescent="0.3">
      <c r="A42" s="4" t="s">
        <v>53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4"/>
  <sheetViews>
    <sheetView showGridLines="0" zoomScaleNormal="100" workbookViewId="0"/>
  </sheetViews>
  <sheetFormatPr defaultColWidth="8.6640625" defaultRowHeight="14.4" x14ac:dyDescent="0.3"/>
  <cols>
    <col min="1" max="1" width="30" customWidth="1"/>
    <col min="2" max="2" width="10" customWidth="1"/>
    <col min="3" max="3" width="9" customWidth="1"/>
    <col min="4" max="6" width="12" customWidth="1"/>
    <col min="7" max="7" width="26" customWidth="1"/>
    <col min="8" max="8" width="30" customWidth="1"/>
  </cols>
  <sheetData>
    <row r="1" spans="1:8" ht="18" x14ac:dyDescent="0.35">
      <c r="A1" s="3" t="s">
        <v>57</v>
      </c>
    </row>
    <row r="2" spans="1:8" x14ac:dyDescent="0.3">
      <c r="A2" s="4" t="s">
        <v>58</v>
      </c>
    </row>
    <row r="4" spans="1:8" ht="48" customHeight="1" x14ac:dyDescent="0.3">
      <c r="A4" s="5" t="s">
        <v>59</v>
      </c>
      <c r="B4" s="5" t="s">
        <v>60</v>
      </c>
      <c r="C4" s="5" t="s">
        <v>61</v>
      </c>
      <c r="D4" s="5" t="s">
        <v>62</v>
      </c>
      <c r="E4" s="5" t="s">
        <v>63</v>
      </c>
      <c r="F4" s="5" t="s">
        <v>64</v>
      </c>
      <c r="G4" s="5" t="s">
        <v>65</v>
      </c>
      <c r="H4" s="5" t="s">
        <v>66</v>
      </c>
    </row>
    <row r="5" spans="1:8" x14ac:dyDescent="0.3">
      <c r="A5" s="9" t="s">
        <v>67</v>
      </c>
      <c r="B5" s="6" t="s">
        <v>68</v>
      </c>
      <c r="C5" s="19">
        <v>0.3</v>
      </c>
      <c r="D5" s="20">
        <v>73679.5</v>
      </c>
      <c r="E5" s="20">
        <v>33530.300000000003</v>
      </c>
      <c r="F5" s="20">
        <v>39214.25</v>
      </c>
      <c r="G5" s="6" t="s">
        <v>69</v>
      </c>
      <c r="H5" s="6" t="s">
        <v>70</v>
      </c>
    </row>
    <row r="6" spans="1:8" x14ac:dyDescent="0.3">
      <c r="A6" s="9" t="s">
        <v>71</v>
      </c>
      <c r="B6" s="6" t="s">
        <v>68</v>
      </c>
      <c r="C6" s="19">
        <v>0.3</v>
      </c>
      <c r="D6" s="20">
        <v>64518.7</v>
      </c>
      <c r="E6" s="20">
        <v>42671.4</v>
      </c>
      <c r="F6" s="20">
        <v>44226.26</v>
      </c>
      <c r="G6" s="6" t="s">
        <v>69</v>
      </c>
      <c r="H6" s="6" t="s">
        <v>70</v>
      </c>
    </row>
    <row r="7" spans="1:8" x14ac:dyDescent="0.3">
      <c r="A7" s="9" t="s">
        <v>72</v>
      </c>
      <c r="B7" s="6" t="s">
        <v>68</v>
      </c>
      <c r="C7" s="19">
        <v>0.3</v>
      </c>
      <c r="D7" s="20">
        <v>59069.5</v>
      </c>
      <c r="E7" s="20">
        <v>48140.3</v>
      </c>
      <c r="F7" s="20">
        <v>48344.85</v>
      </c>
      <c r="G7" s="6" t="s">
        <v>69</v>
      </c>
      <c r="H7" s="6" t="s">
        <v>70</v>
      </c>
    </row>
    <row r="8" spans="1:8" x14ac:dyDescent="0.3">
      <c r="A8" s="9" t="s">
        <v>73</v>
      </c>
      <c r="B8" s="6" t="s">
        <v>68</v>
      </c>
      <c r="C8" s="19">
        <v>0.3</v>
      </c>
      <c r="D8" s="20">
        <v>67403.5</v>
      </c>
      <c r="E8" s="20">
        <v>39806.300000000003</v>
      </c>
      <c r="F8" s="20">
        <v>39085.33</v>
      </c>
      <c r="G8" s="6" t="s">
        <v>69</v>
      </c>
      <c r="H8" s="6" t="s">
        <v>70</v>
      </c>
    </row>
    <row r="9" spans="1:8" x14ac:dyDescent="0.3">
      <c r="A9" s="9" t="s">
        <v>74</v>
      </c>
      <c r="B9" s="6" t="s">
        <v>75</v>
      </c>
      <c r="C9" s="19">
        <v>0.2</v>
      </c>
      <c r="D9" s="20">
        <v>50046.6</v>
      </c>
      <c r="E9" s="20">
        <v>32329.3</v>
      </c>
      <c r="F9" s="20">
        <v>44605.88</v>
      </c>
      <c r="G9" s="6" t="s">
        <v>76</v>
      </c>
      <c r="H9" s="6" t="s">
        <v>70</v>
      </c>
    </row>
    <row r="10" spans="1:8" x14ac:dyDescent="0.3">
      <c r="A10" s="9" t="s">
        <v>77</v>
      </c>
      <c r="B10" s="6" t="s">
        <v>75</v>
      </c>
      <c r="C10" s="19">
        <v>0.2</v>
      </c>
      <c r="D10" s="20">
        <v>47395</v>
      </c>
      <c r="E10" s="20">
        <v>34958.199999999997</v>
      </c>
      <c r="F10" s="20">
        <v>59045.13</v>
      </c>
      <c r="G10" s="6" t="s">
        <v>76</v>
      </c>
      <c r="H10" s="6" t="s">
        <v>70</v>
      </c>
    </row>
    <row r="11" spans="1:8" x14ac:dyDescent="0.3">
      <c r="A11" s="9" t="s">
        <v>78</v>
      </c>
      <c r="B11" s="6" t="s">
        <v>75</v>
      </c>
      <c r="C11" s="19">
        <v>0.2</v>
      </c>
      <c r="D11" s="20">
        <v>49714.400000000001</v>
      </c>
      <c r="E11" s="20">
        <v>32659.3</v>
      </c>
      <c r="F11" s="20">
        <v>45597.99</v>
      </c>
      <c r="G11" s="6" t="s">
        <v>76</v>
      </c>
      <c r="H11" s="6" t="s">
        <v>70</v>
      </c>
    </row>
    <row r="14" spans="1:8" x14ac:dyDescent="0.3">
      <c r="A14" s="17" t="s">
        <v>79</v>
      </c>
    </row>
    <row r="15" spans="1:8" ht="48" customHeight="1" x14ac:dyDescent="0.3">
      <c r="A15" s="5" t="s">
        <v>80</v>
      </c>
      <c r="B15" s="5" t="s">
        <v>81</v>
      </c>
      <c r="C15" s="5" t="s">
        <v>82</v>
      </c>
      <c r="D15" s="5"/>
      <c r="E15" s="5"/>
      <c r="F15" s="5"/>
      <c r="G15" s="5" t="s">
        <v>83</v>
      </c>
      <c r="H15" s="5"/>
    </row>
    <row r="16" spans="1:8" x14ac:dyDescent="0.3">
      <c r="A16" s="6" t="s">
        <v>84</v>
      </c>
      <c r="B16" s="19">
        <v>293</v>
      </c>
      <c r="C16" s="6" t="s">
        <v>85</v>
      </c>
      <c r="G16" s="6" t="s">
        <v>86</v>
      </c>
    </row>
    <row r="17" spans="1:7" x14ac:dyDescent="0.3">
      <c r="A17" s="6" t="s">
        <v>87</v>
      </c>
      <c r="B17" s="19">
        <v>2000</v>
      </c>
      <c r="C17" s="6" t="s">
        <v>88</v>
      </c>
      <c r="G17" s="6"/>
    </row>
    <row r="18" spans="1:7" x14ac:dyDescent="0.3">
      <c r="A18" s="6" t="s">
        <v>89</v>
      </c>
      <c r="B18" s="19">
        <v>10</v>
      </c>
      <c r="C18" s="6" t="s">
        <v>90</v>
      </c>
      <c r="G18" s="6"/>
    </row>
    <row r="19" spans="1:7" x14ac:dyDescent="0.3">
      <c r="A19" s="6" t="s">
        <v>91</v>
      </c>
      <c r="B19" s="19">
        <v>997.3</v>
      </c>
      <c r="C19" s="6" t="s">
        <v>92</v>
      </c>
      <c r="G19" s="6" t="s">
        <v>93</v>
      </c>
    </row>
    <row r="20" spans="1:7" x14ac:dyDescent="0.3">
      <c r="A20" s="6" t="s">
        <v>94</v>
      </c>
      <c r="B20" s="21">
        <v>2.0699999999999999E-4</v>
      </c>
      <c r="C20" s="6" t="s">
        <v>95</v>
      </c>
      <c r="G20" s="6"/>
    </row>
    <row r="21" spans="1:7" x14ac:dyDescent="0.3">
      <c r="A21" s="6" t="s">
        <v>96</v>
      </c>
      <c r="B21" s="19">
        <v>298.10000000000002</v>
      </c>
      <c r="C21" s="6" t="s">
        <v>85</v>
      </c>
      <c r="G21" s="6"/>
    </row>
    <row r="22" spans="1:7" x14ac:dyDescent="0.3">
      <c r="A22" s="6" t="s">
        <v>97</v>
      </c>
      <c r="B22" s="19">
        <v>4180</v>
      </c>
      <c r="C22" s="6" t="s">
        <v>98</v>
      </c>
      <c r="G22" s="6"/>
    </row>
    <row r="23" spans="1:7" x14ac:dyDescent="0.3">
      <c r="A23" s="6" t="s">
        <v>99</v>
      </c>
      <c r="B23" s="21">
        <v>9.3379999999999996E-7</v>
      </c>
      <c r="C23" s="6" t="s">
        <v>100</v>
      </c>
      <c r="G23" s="6"/>
    </row>
    <row r="24" spans="1:7" x14ac:dyDescent="0.3">
      <c r="A24" s="6" t="s">
        <v>101</v>
      </c>
      <c r="B24" s="19">
        <v>6.524</v>
      </c>
      <c r="C24" s="6" t="s">
        <v>26</v>
      </c>
      <c r="G24" s="6"/>
    </row>
    <row r="25" spans="1:7" x14ac:dyDescent="0.3">
      <c r="A25" s="6" t="s">
        <v>102</v>
      </c>
      <c r="B25" s="19">
        <v>401</v>
      </c>
      <c r="C25" s="6" t="s">
        <v>103</v>
      </c>
      <c r="G25" s="6"/>
    </row>
    <row r="26" spans="1:7" x14ac:dyDescent="0.3">
      <c r="A26" s="6" t="s">
        <v>104</v>
      </c>
      <c r="B26" s="11">
        <f>B19*(1-B20*(B16-B21))</f>
        <v>998.35284960999991</v>
      </c>
      <c r="C26" s="6" t="s">
        <v>92</v>
      </c>
      <c r="G26" s="6" t="s">
        <v>105</v>
      </c>
    </row>
    <row r="27" spans="1:7" x14ac:dyDescent="0.3">
      <c r="A27" s="6" t="s">
        <v>106</v>
      </c>
      <c r="B27" s="22">
        <v>0.166392175</v>
      </c>
      <c r="C27" s="6" t="s">
        <v>107</v>
      </c>
      <c r="G27" s="6" t="s">
        <v>108</v>
      </c>
    </row>
    <row r="28" spans="1:7" x14ac:dyDescent="0.3">
      <c r="A28" s="6" t="s">
        <v>109</v>
      </c>
      <c r="B28" s="19">
        <v>273.14999999999998</v>
      </c>
      <c r="C28" s="6" t="s">
        <v>85</v>
      </c>
      <c r="G28" s="6"/>
    </row>
    <row r="30" spans="1:7" x14ac:dyDescent="0.3">
      <c r="A30" s="17" t="s">
        <v>110</v>
      </c>
    </row>
    <row r="31" spans="1:7" x14ac:dyDescent="0.3">
      <c r="A31" s="23" t="s">
        <v>111</v>
      </c>
    </row>
    <row r="32" spans="1:7" x14ac:dyDescent="0.3">
      <c r="A32" s="23" t="s">
        <v>112</v>
      </c>
    </row>
    <row r="33" spans="1:1" x14ac:dyDescent="0.3">
      <c r="A33" s="23" t="s">
        <v>113</v>
      </c>
    </row>
    <row r="34" spans="1:1" x14ac:dyDescent="0.3">
      <c r="A34" s="23" t="s">
        <v>114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7"/>
  <sheetViews>
    <sheetView showGridLines="0" zoomScaleNormal="100" workbookViewId="0"/>
  </sheetViews>
  <sheetFormatPr defaultColWidth="8.6640625" defaultRowHeight="14.4" x14ac:dyDescent="0.3"/>
  <cols>
    <col min="1" max="13" width="12" customWidth="1"/>
    <col min="14" max="14" width="7" customWidth="1"/>
    <col min="15" max="18" width="12" customWidth="1"/>
    <col min="19" max="19" width="11" customWidth="1"/>
    <col min="20" max="20" width="12" customWidth="1"/>
    <col min="21" max="21" width="11" customWidth="1"/>
    <col min="22" max="22" width="12" customWidth="1"/>
    <col min="23" max="23" width="9" customWidth="1"/>
  </cols>
  <sheetData>
    <row r="1" spans="1:23" ht="18" x14ac:dyDescent="0.35">
      <c r="A1" s="3" t="s">
        <v>115</v>
      </c>
    </row>
    <row r="2" spans="1:23" x14ac:dyDescent="0.3">
      <c r="A2" s="4" t="s">
        <v>116</v>
      </c>
    </row>
    <row r="3" spans="1:23" ht="15" customHeight="1" x14ac:dyDescent="0.3">
      <c r="B3" s="2" t="s">
        <v>117</v>
      </c>
      <c r="C3" s="2"/>
      <c r="D3" s="2"/>
      <c r="E3" s="2"/>
      <c r="F3" s="2"/>
      <c r="G3" s="2"/>
      <c r="H3" s="2" t="s">
        <v>118</v>
      </c>
      <c r="I3" s="2"/>
      <c r="J3" s="2"/>
      <c r="K3" s="2"/>
      <c r="L3" s="2"/>
      <c r="M3" s="2"/>
      <c r="N3" s="2" t="s">
        <v>119</v>
      </c>
      <c r="O3" s="2"/>
      <c r="P3" s="2"/>
      <c r="Q3" s="2"/>
      <c r="R3" s="2"/>
      <c r="S3" s="2"/>
      <c r="T3" s="2"/>
      <c r="U3" s="2"/>
      <c r="V3" s="2"/>
      <c r="W3" s="2"/>
    </row>
    <row r="4" spans="1:23" ht="48" customHeight="1" x14ac:dyDescent="0.3">
      <c r="A4" s="5" t="s">
        <v>59</v>
      </c>
      <c r="B4" s="5" t="s">
        <v>120</v>
      </c>
      <c r="C4" s="5" t="s">
        <v>121</v>
      </c>
      <c r="D4" s="5" t="s">
        <v>122</v>
      </c>
      <c r="E4" s="5" t="s">
        <v>123</v>
      </c>
      <c r="F4" s="5" t="s">
        <v>124</v>
      </c>
      <c r="G4" s="5" t="s">
        <v>125</v>
      </c>
      <c r="H4" s="5" t="s">
        <v>120</v>
      </c>
      <c r="I4" s="5" t="s">
        <v>121</v>
      </c>
      <c r="J4" s="5" t="s">
        <v>122</v>
      </c>
      <c r="K4" s="5" t="s">
        <v>123</v>
      </c>
      <c r="L4" s="5" t="s">
        <v>124</v>
      </c>
      <c r="M4" s="5" t="s">
        <v>125</v>
      </c>
      <c r="N4" s="5" t="s">
        <v>126</v>
      </c>
      <c r="O4" s="5" t="s">
        <v>127</v>
      </c>
      <c r="P4" s="5" t="s">
        <v>128</v>
      </c>
      <c r="Q4" s="5" t="s">
        <v>129</v>
      </c>
      <c r="R4" s="5" t="s">
        <v>130</v>
      </c>
      <c r="S4" s="5" t="s">
        <v>131</v>
      </c>
      <c r="T4" s="5" t="s">
        <v>132</v>
      </c>
      <c r="U4" s="5" t="s">
        <v>133</v>
      </c>
      <c r="V4" s="5" t="s">
        <v>134</v>
      </c>
      <c r="W4" s="5" t="s">
        <v>135</v>
      </c>
    </row>
    <row r="5" spans="1:23" x14ac:dyDescent="0.3">
      <c r="A5" s="9" t="s">
        <v>67</v>
      </c>
      <c r="B5" s="20">
        <v>2731992</v>
      </c>
      <c r="C5" s="20">
        <v>2973117</v>
      </c>
      <c r="D5" s="16">
        <f t="shared" ref="D5:E11" si="0">J5</f>
        <v>1138820</v>
      </c>
      <c r="E5" s="16">
        <f t="shared" si="0"/>
        <v>1546657</v>
      </c>
      <c r="F5" s="16">
        <f t="shared" ref="F5:G11" si="1">B5+D5</f>
        <v>3870812</v>
      </c>
      <c r="G5" s="16">
        <f t="shared" si="1"/>
        <v>4519774</v>
      </c>
      <c r="H5" s="20">
        <v>5109342</v>
      </c>
      <c r="I5" s="16">
        <f t="shared" ref="I5:I11" si="2">C5+N5*P5</f>
        <v>5349677</v>
      </c>
      <c r="J5" s="20">
        <v>1138820</v>
      </c>
      <c r="K5" s="20">
        <v>1546657</v>
      </c>
      <c r="L5" s="16">
        <f t="shared" ref="L5:M11" si="3">H5+J5</f>
        <v>6248162</v>
      </c>
      <c r="M5" s="16">
        <f t="shared" si="3"/>
        <v>6896334</v>
      </c>
      <c r="N5" s="24">
        <v>5</v>
      </c>
      <c r="O5" s="20">
        <v>2377350</v>
      </c>
      <c r="P5" s="20">
        <v>475312</v>
      </c>
      <c r="Q5" s="20">
        <v>820350</v>
      </c>
      <c r="R5" s="20">
        <v>15090291</v>
      </c>
      <c r="S5" s="20">
        <v>475470</v>
      </c>
      <c r="T5" s="20">
        <v>3006205</v>
      </c>
      <c r="U5" s="20">
        <v>820510</v>
      </c>
      <c r="V5" s="16">
        <f t="shared" ref="V5:V11" si="4">R5+S5+T5+U5</f>
        <v>19392476</v>
      </c>
      <c r="W5" s="14">
        <f t="shared" ref="W5:W11" si="5">O5/H5</f>
        <v>0.46529474832571394</v>
      </c>
    </row>
    <row r="6" spans="1:23" x14ac:dyDescent="0.3">
      <c r="A6" s="9" t="s">
        <v>71</v>
      </c>
      <c r="B6" s="20">
        <v>2382648</v>
      </c>
      <c r="C6" s="20">
        <v>2655536</v>
      </c>
      <c r="D6" s="16">
        <f t="shared" si="0"/>
        <v>1487416</v>
      </c>
      <c r="E6" s="16">
        <f t="shared" si="0"/>
        <v>1932804</v>
      </c>
      <c r="F6" s="16">
        <f t="shared" si="1"/>
        <v>3870064</v>
      </c>
      <c r="G6" s="16">
        <f t="shared" si="1"/>
        <v>4588340</v>
      </c>
      <c r="H6" s="20">
        <v>5109598</v>
      </c>
      <c r="I6" s="16">
        <f t="shared" si="2"/>
        <v>5378926</v>
      </c>
      <c r="J6" s="20">
        <v>1487416</v>
      </c>
      <c r="K6" s="20">
        <v>1932804</v>
      </c>
      <c r="L6" s="16">
        <f t="shared" si="3"/>
        <v>6597014</v>
      </c>
      <c r="M6" s="16">
        <f t="shared" si="3"/>
        <v>7311730</v>
      </c>
      <c r="N6" s="24">
        <v>5</v>
      </c>
      <c r="O6" s="20">
        <v>2726950</v>
      </c>
      <c r="P6" s="20">
        <v>544678</v>
      </c>
      <c r="Q6" s="20">
        <v>889612</v>
      </c>
      <c r="R6" s="20">
        <v>15056099</v>
      </c>
      <c r="S6" s="20">
        <v>545390</v>
      </c>
      <c r="T6" s="20">
        <v>4017085</v>
      </c>
      <c r="U6" s="20">
        <v>890326</v>
      </c>
      <c r="V6" s="16">
        <f t="shared" si="4"/>
        <v>20508900</v>
      </c>
      <c r="W6" s="14">
        <f t="shared" si="5"/>
        <v>0.53369169159687313</v>
      </c>
    </row>
    <row r="7" spans="1:23" x14ac:dyDescent="0.3">
      <c r="A7" s="9" t="s">
        <v>72</v>
      </c>
      <c r="B7" s="20">
        <v>2191512</v>
      </c>
      <c r="C7" s="20">
        <v>2473296</v>
      </c>
      <c r="D7" s="16">
        <f t="shared" si="0"/>
        <v>1679300</v>
      </c>
      <c r="E7" s="16">
        <f t="shared" si="0"/>
        <v>2119260</v>
      </c>
      <c r="F7" s="16">
        <f t="shared" si="1"/>
        <v>3870812</v>
      </c>
      <c r="G7" s="16">
        <f t="shared" si="1"/>
        <v>4592556</v>
      </c>
      <c r="H7" s="20">
        <v>4932222</v>
      </c>
      <c r="I7" s="16">
        <f t="shared" si="2"/>
        <v>5213766</v>
      </c>
      <c r="J7" s="20">
        <v>1679300</v>
      </c>
      <c r="K7" s="20">
        <v>2119260</v>
      </c>
      <c r="L7" s="16">
        <f t="shared" si="3"/>
        <v>6611522</v>
      </c>
      <c r="M7" s="16">
        <f t="shared" si="3"/>
        <v>7333026</v>
      </c>
      <c r="N7" s="24">
        <v>5</v>
      </c>
      <c r="O7" s="20">
        <v>2740710</v>
      </c>
      <c r="P7" s="20">
        <v>548094</v>
      </c>
      <c r="Q7" s="20">
        <v>893132</v>
      </c>
      <c r="R7" s="20">
        <v>14522595</v>
      </c>
      <c r="S7" s="20">
        <v>548142</v>
      </c>
      <c r="T7" s="20">
        <v>4591309</v>
      </c>
      <c r="U7" s="20">
        <v>893182</v>
      </c>
      <c r="V7" s="16">
        <f t="shared" si="4"/>
        <v>20555228</v>
      </c>
      <c r="W7" s="14">
        <f t="shared" si="5"/>
        <v>0.55567450126940754</v>
      </c>
    </row>
    <row r="8" spans="1:23" x14ac:dyDescent="0.3">
      <c r="A8" s="9" t="s">
        <v>73</v>
      </c>
      <c r="B8" s="20">
        <v>2497252</v>
      </c>
      <c r="C8" s="20">
        <v>2727417</v>
      </c>
      <c r="D8" s="16">
        <f t="shared" si="0"/>
        <v>1373560</v>
      </c>
      <c r="E8" s="16">
        <f t="shared" si="0"/>
        <v>1771579</v>
      </c>
      <c r="F8" s="16">
        <f t="shared" si="1"/>
        <v>3870812</v>
      </c>
      <c r="G8" s="16">
        <f t="shared" si="1"/>
        <v>4498996</v>
      </c>
      <c r="H8" s="20">
        <v>4771032</v>
      </c>
      <c r="I8" s="16">
        <f t="shared" si="2"/>
        <v>5000087</v>
      </c>
      <c r="J8" s="20">
        <v>1373560</v>
      </c>
      <c r="K8" s="20">
        <v>1771579</v>
      </c>
      <c r="L8" s="16">
        <f t="shared" si="3"/>
        <v>6144592</v>
      </c>
      <c r="M8" s="16">
        <f t="shared" si="3"/>
        <v>6771666</v>
      </c>
      <c r="N8" s="24">
        <v>5</v>
      </c>
      <c r="O8" s="20">
        <v>2273780</v>
      </c>
      <c r="P8" s="20">
        <v>454534</v>
      </c>
      <c r="Q8" s="20">
        <v>799572</v>
      </c>
      <c r="R8" s="20">
        <v>14085718</v>
      </c>
      <c r="S8" s="20">
        <v>454756</v>
      </c>
      <c r="T8" s="20">
        <v>3720782</v>
      </c>
      <c r="U8" s="20">
        <v>799796</v>
      </c>
      <c r="V8" s="16">
        <f t="shared" si="4"/>
        <v>19061052</v>
      </c>
      <c r="W8" s="14">
        <f t="shared" si="5"/>
        <v>0.47658032895189134</v>
      </c>
    </row>
    <row r="9" spans="1:23" x14ac:dyDescent="0.3">
      <c r="A9" s="9" t="s">
        <v>74</v>
      </c>
      <c r="B9" s="20">
        <v>6253639</v>
      </c>
      <c r="C9" s="20">
        <v>6878356</v>
      </c>
      <c r="D9" s="16">
        <f t="shared" si="0"/>
        <v>4044824</v>
      </c>
      <c r="E9" s="16">
        <f t="shared" si="0"/>
        <v>5035212</v>
      </c>
      <c r="F9" s="16">
        <f t="shared" si="1"/>
        <v>10298463</v>
      </c>
      <c r="G9" s="16">
        <f t="shared" si="1"/>
        <v>11913568</v>
      </c>
      <c r="H9" s="20">
        <v>12399179</v>
      </c>
      <c r="I9" s="16">
        <f t="shared" si="2"/>
        <v>13022966</v>
      </c>
      <c r="J9" s="20">
        <v>4044824</v>
      </c>
      <c r="K9" s="20">
        <v>5035212</v>
      </c>
      <c r="L9" s="16">
        <f t="shared" si="3"/>
        <v>16444003</v>
      </c>
      <c r="M9" s="16">
        <f t="shared" si="3"/>
        <v>18058178</v>
      </c>
      <c r="N9" s="24">
        <v>5</v>
      </c>
      <c r="O9" s="20">
        <v>6145540</v>
      </c>
      <c r="P9" s="20">
        <v>1228922</v>
      </c>
      <c r="Q9" s="20">
        <v>1997792</v>
      </c>
      <c r="R9" s="20">
        <v>36582983</v>
      </c>
      <c r="S9" s="20">
        <v>1229108</v>
      </c>
      <c r="T9" s="20">
        <v>11135482</v>
      </c>
      <c r="U9" s="20">
        <v>1997980</v>
      </c>
      <c r="V9" s="16">
        <f t="shared" si="4"/>
        <v>50945553</v>
      </c>
      <c r="W9" s="14">
        <f t="shared" si="5"/>
        <v>0.49564088073895862</v>
      </c>
    </row>
    <row r="10" spans="1:23" x14ac:dyDescent="0.3">
      <c r="A10" s="9" t="s">
        <v>77</v>
      </c>
      <c r="B10" s="20">
        <v>5920733</v>
      </c>
      <c r="C10" s="20">
        <v>6764545</v>
      </c>
      <c r="D10" s="16">
        <f t="shared" si="0"/>
        <v>4375584</v>
      </c>
      <c r="E10" s="16">
        <f t="shared" si="0"/>
        <v>5567623</v>
      </c>
      <c r="F10" s="16">
        <f t="shared" si="1"/>
        <v>10296317</v>
      </c>
      <c r="G10" s="16">
        <f t="shared" si="1"/>
        <v>12332168</v>
      </c>
      <c r="H10" s="20">
        <v>14169563</v>
      </c>
      <c r="I10" s="16">
        <f t="shared" si="2"/>
        <v>15011725</v>
      </c>
      <c r="J10" s="20">
        <v>4375584</v>
      </c>
      <c r="K10" s="20">
        <v>5567623</v>
      </c>
      <c r="L10" s="16">
        <f t="shared" si="3"/>
        <v>18545147</v>
      </c>
      <c r="M10" s="16">
        <f t="shared" si="3"/>
        <v>20579348</v>
      </c>
      <c r="N10" s="24">
        <v>5</v>
      </c>
      <c r="O10" s="20">
        <v>8253110</v>
      </c>
      <c r="P10" s="20">
        <v>1649436</v>
      </c>
      <c r="Q10" s="20">
        <v>2418834</v>
      </c>
      <c r="R10" s="20">
        <v>41676538</v>
      </c>
      <c r="S10" s="20">
        <v>1650622</v>
      </c>
      <c r="T10" s="20">
        <v>11916741</v>
      </c>
      <c r="U10" s="20">
        <v>2420022</v>
      </c>
      <c r="V10" s="16">
        <f t="shared" si="4"/>
        <v>57663923</v>
      </c>
      <c r="W10" s="14">
        <f t="shared" si="5"/>
        <v>0.58245338970580818</v>
      </c>
    </row>
    <row r="11" spans="1:23" x14ac:dyDescent="0.3">
      <c r="A11" s="9" t="s">
        <v>78</v>
      </c>
      <c r="B11" s="20">
        <v>6213315</v>
      </c>
      <c r="C11" s="20">
        <v>6843508</v>
      </c>
      <c r="D11" s="16">
        <f t="shared" si="0"/>
        <v>4085660</v>
      </c>
      <c r="E11" s="16">
        <f t="shared" si="0"/>
        <v>5079404</v>
      </c>
      <c r="F11" s="16">
        <f t="shared" si="1"/>
        <v>10298975</v>
      </c>
      <c r="G11" s="16">
        <f t="shared" si="1"/>
        <v>11922912</v>
      </c>
      <c r="H11" s="20">
        <v>12403535</v>
      </c>
      <c r="I11" s="16">
        <f t="shared" si="2"/>
        <v>13032438</v>
      </c>
      <c r="J11" s="20">
        <v>4085660</v>
      </c>
      <c r="K11" s="20">
        <v>5079404</v>
      </c>
      <c r="L11" s="16">
        <f t="shared" si="3"/>
        <v>16489195</v>
      </c>
      <c r="M11" s="16">
        <f t="shared" si="3"/>
        <v>18111842</v>
      </c>
      <c r="N11" s="24">
        <v>5</v>
      </c>
      <c r="O11" s="20">
        <v>6190220</v>
      </c>
      <c r="P11" s="20">
        <v>1237786</v>
      </c>
      <c r="Q11" s="20">
        <v>2006592</v>
      </c>
      <c r="R11" s="20">
        <v>36591583</v>
      </c>
      <c r="S11" s="20">
        <v>1238044</v>
      </c>
      <c r="T11" s="20">
        <v>11253554</v>
      </c>
      <c r="U11" s="20">
        <v>2006852</v>
      </c>
      <c r="V11" s="16">
        <f t="shared" si="4"/>
        <v>51090033</v>
      </c>
      <c r="W11" s="14">
        <f t="shared" si="5"/>
        <v>0.49906901540568877</v>
      </c>
    </row>
    <row r="13" spans="1:23" x14ac:dyDescent="0.3">
      <c r="A13" s="17" t="s">
        <v>50</v>
      </c>
    </row>
    <row r="14" spans="1:23" x14ac:dyDescent="0.3">
      <c r="A14" s="4" t="s">
        <v>136</v>
      </c>
    </row>
    <row r="15" spans="1:23" x14ac:dyDescent="0.3">
      <c r="A15" s="4" t="s">
        <v>137</v>
      </c>
    </row>
    <row r="16" spans="1:23" x14ac:dyDescent="0.3">
      <c r="A16" s="4" t="s">
        <v>138</v>
      </c>
    </row>
    <row r="17" spans="1:1" x14ac:dyDescent="0.3">
      <c r="A17" s="4" t="s">
        <v>139</v>
      </c>
    </row>
  </sheetData>
  <mergeCells count="3">
    <mergeCell ref="B3:G3"/>
    <mergeCell ref="H3:M3"/>
    <mergeCell ref="N3:W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6"/>
  <sheetViews>
    <sheetView showGridLines="0" topLeftCell="D1" zoomScaleNormal="100" workbookViewId="0"/>
  </sheetViews>
  <sheetFormatPr defaultColWidth="8.6640625" defaultRowHeight="14.4" x14ac:dyDescent="0.3"/>
  <cols>
    <col min="1" max="1" width="12" customWidth="1"/>
    <col min="2" max="11" width="10" customWidth="1"/>
    <col min="12" max="12" width="9" customWidth="1"/>
    <col min="13" max="13" width="11" customWidth="1"/>
  </cols>
  <sheetData>
    <row r="1" spans="1:13" ht="18" x14ac:dyDescent="0.35">
      <c r="A1" s="3" t="s">
        <v>140</v>
      </c>
    </row>
    <row r="2" spans="1:13" x14ac:dyDescent="0.3">
      <c r="A2" s="4" t="s">
        <v>141</v>
      </c>
    </row>
    <row r="4" spans="1:13" ht="48" customHeight="1" x14ac:dyDescent="0.3">
      <c r="A4" s="5" t="s">
        <v>59</v>
      </c>
      <c r="B4" s="5" t="s">
        <v>142</v>
      </c>
      <c r="C4" s="5" t="s">
        <v>143</v>
      </c>
      <c r="D4" s="5" t="s">
        <v>144</v>
      </c>
      <c r="E4" s="5" t="s">
        <v>145</v>
      </c>
      <c r="F4" s="5" t="s">
        <v>146</v>
      </c>
      <c r="G4" s="5" t="s">
        <v>147</v>
      </c>
      <c r="H4" s="5" t="s">
        <v>148</v>
      </c>
      <c r="I4" s="5" t="s">
        <v>149</v>
      </c>
      <c r="J4" s="5" t="s">
        <v>150</v>
      </c>
      <c r="K4" s="5" t="s">
        <v>151</v>
      </c>
      <c r="L4" s="5" t="s">
        <v>152</v>
      </c>
      <c r="M4" s="5" t="s">
        <v>153</v>
      </c>
    </row>
    <row r="5" spans="1:13" x14ac:dyDescent="0.3">
      <c r="A5" s="9" t="s">
        <v>67</v>
      </c>
      <c r="B5" s="25">
        <v>16.88</v>
      </c>
      <c r="C5" s="25">
        <v>14.19</v>
      </c>
      <c r="D5" s="25">
        <v>213.3</v>
      </c>
      <c r="E5" s="25">
        <v>143.55000000000001</v>
      </c>
      <c r="F5" s="25">
        <v>14.9</v>
      </c>
      <c r="G5" s="25">
        <v>19.98</v>
      </c>
      <c r="H5" s="25">
        <v>68.69</v>
      </c>
      <c r="I5" s="10">
        <f t="shared" ref="I5:I11" si="0">SUM(B5:E5)</f>
        <v>387.92</v>
      </c>
      <c r="J5" s="10">
        <f t="shared" ref="J5:J11" si="1">SUM(F5:H5)</f>
        <v>103.57</v>
      </c>
      <c r="K5" s="10">
        <f t="shared" ref="K5:K11" si="2">I5+J5</f>
        <v>491.49</v>
      </c>
      <c r="L5" s="10">
        <f t="shared" ref="L5:L11" si="3">K5/60</f>
        <v>8.1914999999999996</v>
      </c>
      <c r="M5" s="10">
        <f t="shared" ref="M5:M11" si="4">C5+G5</f>
        <v>34.17</v>
      </c>
    </row>
    <row r="6" spans="1:13" x14ac:dyDescent="0.3">
      <c r="A6" s="9" t="s">
        <v>71</v>
      </c>
      <c r="B6" s="25">
        <v>15.61</v>
      </c>
      <c r="C6" s="25">
        <v>13.64</v>
      </c>
      <c r="D6" s="25">
        <v>328.1</v>
      </c>
      <c r="E6" s="25">
        <v>128.85</v>
      </c>
      <c r="F6" s="25">
        <v>18.39</v>
      </c>
      <c r="G6" s="25">
        <v>20.85</v>
      </c>
      <c r="H6" s="25">
        <v>82.09</v>
      </c>
      <c r="I6" s="10">
        <f t="shared" si="0"/>
        <v>486.20000000000005</v>
      </c>
      <c r="J6" s="10">
        <f t="shared" si="1"/>
        <v>121.33000000000001</v>
      </c>
      <c r="K6" s="10">
        <f t="shared" si="2"/>
        <v>607.53000000000009</v>
      </c>
      <c r="L6" s="10">
        <f t="shared" si="3"/>
        <v>10.125500000000001</v>
      </c>
      <c r="M6" s="10">
        <f t="shared" si="4"/>
        <v>34.49</v>
      </c>
    </row>
    <row r="7" spans="1:13" x14ac:dyDescent="0.3">
      <c r="A7" s="9" t="s">
        <v>72</v>
      </c>
      <c r="B7" s="25">
        <v>13.74</v>
      </c>
      <c r="C7" s="25">
        <v>15.21</v>
      </c>
      <c r="D7" s="25">
        <v>99.1</v>
      </c>
      <c r="E7" s="25">
        <v>125.15</v>
      </c>
      <c r="F7" s="25">
        <v>17.11</v>
      </c>
      <c r="G7" s="25">
        <v>23.24</v>
      </c>
      <c r="H7" s="25">
        <v>76.08</v>
      </c>
      <c r="I7" s="10">
        <f t="shared" si="0"/>
        <v>253.20000000000002</v>
      </c>
      <c r="J7" s="10">
        <f t="shared" si="1"/>
        <v>116.42999999999999</v>
      </c>
      <c r="K7" s="10">
        <f t="shared" si="2"/>
        <v>369.63</v>
      </c>
      <c r="L7" s="10">
        <f t="shared" si="3"/>
        <v>6.1604999999999999</v>
      </c>
      <c r="M7" s="10">
        <f t="shared" si="4"/>
        <v>38.450000000000003</v>
      </c>
    </row>
    <row r="8" spans="1:13" x14ac:dyDescent="0.3">
      <c r="A8" s="9" t="s">
        <v>73</v>
      </c>
      <c r="B8" s="25">
        <v>15.95</v>
      </c>
      <c r="C8" s="25">
        <v>14.02</v>
      </c>
      <c r="D8" s="25">
        <v>118.8</v>
      </c>
      <c r="E8" s="25">
        <v>132.52000000000001</v>
      </c>
      <c r="F8" s="25">
        <v>15.13</v>
      </c>
      <c r="G8" s="25">
        <v>16.829999999999998</v>
      </c>
      <c r="H8" s="25">
        <v>68.400000000000006</v>
      </c>
      <c r="I8" s="10">
        <f t="shared" si="0"/>
        <v>281.28999999999996</v>
      </c>
      <c r="J8" s="10">
        <f t="shared" si="1"/>
        <v>100.36000000000001</v>
      </c>
      <c r="K8" s="10">
        <f t="shared" si="2"/>
        <v>381.65</v>
      </c>
      <c r="L8" s="10">
        <f t="shared" si="3"/>
        <v>6.3608333333333329</v>
      </c>
      <c r="M8" s="10">
        <f t="shared" si="4"/>
        <v>30.849999999999998</v>
      </c>
    </row>
    <row r="9" spans="1:13" x14ac:dyDescent="0.3">
      <c r="A9" s="9" t="s">
        <v>74</v>
      </c>
      <c r="B9" s="25">
        <v>101.3</v>
      </c>
      <c r="C9" s="25">
        <v>26.23</v>
      </c>
      <c r="D9" s="25">
        <v>763.2</v>
      </c>
      <c r="E9" s="25">
        <v>491.25</v>
      </c>
      <c r="F9" s="25">
        <v>157.19</v>
      </c>
      <c r="G9" s="25">
        <v>32.950000000000003</v>
      </c>
      <c r="H9" s="25">
        <v>412.1</v>
      </c>
      <c r="I9" s="10">
        <f t="shared" si="0"/>
        <v>1381.98</v>
      </c>
      <c r="J9" s="10">
        <f t="shared" si="1"/>
        <v>602.24</v>
      </c>
      <c r="K9" s="10">
        <f t="shared" si="2"/>
        <v>1984.22</v>
      </c>
      <c r="L9" s="10">
        <f t="shared" si="3"/>
        <v>33.07033333333333</v>
      </c>
      <c r="M9" s="10">
        <f t="shared" si="4"/>
        <v>59.180000000000007</v>
      </c>
    </row>
    <row r="10" spans="1:13" x14ac:dyDescent="0.3">
      <c r="A10" s="9" t="s">
        <v>77</v>
      </c>
      <c r="B10" s="25">
        <v>147.19</v>
      </c>
      <c r="C10" s="25">
        <v>28.12</v>
      </c>
      <c r="D10" s="25">
        <v>4871.8999999999996</v>
      </c>
      <c r="E10" s="25">
        <v>730.53</v>
      </c>
      <c r="F10" s="25">
        <v>217.94</v>
      </c>
      <c r="G10" s="25">
        <v>41.99</v>
      </c>
      <c r="H10" s="25">
        <v>617.98</v>
      </c>
      <c r="I10" s="10">
        <f t="shared" si="0"/>
        <v>5777.74</v>
      </c>
      <c r="J10" s="10">
        <f t="shared" si="1"/>
        <v>877.91000000000008</v>
      </c>
      <c r="K10" s="10">
        <f t="shared" si="2"/>
        <v>6655.65</v>
      </c>
      <c r="L10" s="10">
        <f t="shared" si="3"/>
        <v>110.92749999999999</v>
      </c>
      <c r="M10" s="10">
        <f t="shared" si="4"/>
        <v>70.11</v>
      </c>
    </row>
    <row r="11" spans="1:13" x14ac:dyDescent="0.3">
      <c r="A11" s="9" t="s">
        <v>78</v>
      </c>
      <c r="B11" s="25">
        <v>101.9</v>
      </c>
      <c r="C11" s="25">
        <v>26.44</v>
      </c>
      <c r="D11" s="25">
        <v>778.1</v>
      </c>
      <c r="E11" s="25">
        <v>505.3</v>
      </c>
      <c r="F11" s="25">
        <v>159.65</v>
      </c>
      <c r="G11" s="25">
        <v>29.48</v>
      </c>
      <c r="H11" s="25">
        <v>423.68</v>
      </c>
      <c r="I11" s="10">
        <f t="shared" si="0"/>
        <v>1411.74</v>
      </c>
      <c r="J11" s="10">
        <f t="shared" si="1"/>
        <v>612.80999999999995</v>
      </c>
      <c r="K11" s="10">
        <f t="shared" si="2"/>
        <v>2024.55</v>
      </c>
      <c r="L11" s="10">
        <f t="shared" si="3"/>
        <v>33.7425</v>
      </c>
      <c r="M11" s="10">
        <f t="shared" si="4"/>
        <v>55.92</v>
      </c>
    </row>
    <row r="13" spans="1:13" x14ac:dyDescent="0.3">
      <c r="A13" s="17" t="s">
        <v>50</v>
      </c>
    </row>
    <row r="14" spans="1:13" x14ac:dyDescent="0.3">
      <c r="A14" s="4" t="s">
        <v>154</v>
      </c>
    </row>
    <row r="15" spans="1:13" x14ac:dyDescent="0.3">
      <c r="A15" s="4" t="s">
        <v>155</v>
      </c>
    </row>
    <row r="16" spans="1:13" x14ac:dyDescent="0.3">
      <c r="A16" s="4" t="s">
        <v>156</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7"/>
  <sheetViews>
    <sheetView showGridLines="0" zoomScaleNormal="100" workbookViewId="0"/>
  </sheetViews>
  <sheetFormatPr defaultColWidth="8.6640625" defaultRowHeight="14.4" x14ac:dyDescent="0.3"/>
  <cols>
    <col min="1" max="1" width="12" customWidth="1"/>
    <col min="2" max="3" width="11" customWidth="1"/>
    <col min="4" max="7" width="10" customWidth="1"/>
    <col min="8" max="9" width="11" customWidth="1"/>
    <col min="10" max="12" width="10" customWidth="1"/>
    <col min="13" max="13" width="9" customWidth="1"/>
    <col min="14" max="15" width="10" customWidth="1"/>
    <col min="16" max="16" width="8" customWidth="1"/>
  </cols>
  <sheetData>
    <row r="1" spans="1:16" ht="18" x14ac:dyDescent="0.35">
      <c r="A1" s="3" t="s">
        <v>157</v>
      </c>
    </row>
    <row r="2" spans="1:16" x14ac:dyDescent="0.3">
      <c r="A2" s="4" t="s">
        <v>158</v>
      </c>
    </row>
    <row r="4" spans="1:16" ht="48" customHeight="1" x14ac:dyDescent="0.3">
      <c r="A4" s="5" t="s">
        <v>59</v>
      </c>
      <c r="B4" s="5" t="s">
        <v>159</v>
      </c>
      <c r="C4" s="5" t="s">
        <v>160</v>
      </c>
      <c r="D4" s="5" t="s">
        <v>161</v>
      </c>
      <c r="E4" s="5" t="s">
        <v>162</v>
      </c>
      <c r="F4" s="5" t="s">
        <v>163</v>
      </c>
      <c r="G4" s="5" t="s">
        <v>164</v>
      </c>
      <c r="H4" s="5" t="s">
        <v>165</v>
      </c>
      <c r="I4" s="5" t="s">
        <v>166</v>
      </c>
      <c r="J4" s="5" t="s">
        <v>167</v>
      </c>
      <c r="K4" s="5" t="s">
        <v>168</v>
      </c>
      <c r="L4" s="5" t="s">
        <v>169</v>
      </c>
      <c r="M4" s="5" t="s">
        <v>11</v>
      </c>
      <c r="N4" s="5" t="s">
        <v>170</v>
      </c>
      <c r="O4" s="5" t="s">
        <v>171</v>
      </c>
      <c r="P4" s="5" t="s">
        <v>172</v>
      </c>
    </row>
    <row r="5" spans="1:16" x14ac:dyDescent="0.3">
      <c r="A5" s="9" t="s">
        <v>67</v>
      </c>
      <c r="B5" s="25">
        <v>53.8</v>
      </c>
      <c r="C5" s="25">
        <v>7.2</v>
      </c>
      <c r="D5" s="19">
        <v>3.51</v>
      </c>
      <c r="E5" s="25">
        <v>47.3</v>
      </c>
      <c r="F5" s="26">
        <v>7.4999999999999997E-2</v>
      </c>
      <c r="G5" s="20">
        <v>83</v>
      </c>
      <c r="H5" s="25">
        <v>29.1</v>
      </c>
      <c r="I5" s="25"/>
      <c r="J5" s="19">
        <v>1.37</v>
      </c>
      <c r="K5" s="19">
        <v>2.6</v>
      </c>
      <c r="L5" s="26">
        <v>0.23799999999999999</v>
      </c>
      <c r="M5" s="24">
        <v>0</v>
      </c>
      <c r="N5" s="27" t="s">
        <v>173</v>
      </c>
      <c r="O5" s="27" t="s">
        <v>173</v>
      </c>
      <c r="P5" s="9" t="e">
        <f>IF(AND(B5&lt;=#REF!,H5&lt;=#REF!,D5&lt;=#REF!,J5&lt;=#REF!,E5&lt;=#REF!,K5&lt;=#REF!,F5&gt;#REF!,L5&gt;#REF!,M5=#REF!,N5="Mesh OK",O5="Mesh OK"),"Pass","Fail")</f>
        <v>#REF!</v>
      </c>
    </row>
    <row r="6" spans="1:16" x14ac:dyDescent="0.3">
      <c r="A6" s="9" t="s">
        <v>71</v>
      </c>
      <c r="B6" s="25">
        <v>57.2</v>
      </c>
      <c r="C6" s="25">
        <v>8.1</v>
      </c>
      <c r="D6" s="19">
        <v>3.44</v>
      </c>
      <c r="E6" s="25">
        <v>44.7</v>
      </c>
      <c r="F6" s="26">
        <v>0.06</v>
      </c>
      <c r="G6" s="20">
        <v>22</v>
      </c>
      <c r="H6" s="25">
        <v>28.9</v>
      </c>
      <c r="I6" s="25"/>
      <c r="J6" s="19">
        <v>1.56</v>
      </c>
      <c r="K6" s="19">
        <v>2.63</v>
      </c>
      <c r="L6" s="26">
        <v>0.20300000000000001</v>
      </c>
      <c r="M6" s="24">
        <v>0</v>
      </c>
      <c r="N6" s="27" t="s">
        <v>173</v>
      </c>
      <c r="O6" s="27" t="s">
        <v>173</v>
      </c>
      <c r="P6" s="9" t="e">
        <f>IF(AND(B6&lt;=#REF!,H6&lt;=#REF!,D6&lt;=#REF!,J6&lt;=#REF!,E6&lt;=#REF!,K6&lt;=#REF!,F6&gt;#REF!,L6&gt;#REF!,M6=#REF!,N6="Mesh OK",O6="Mesh OK"),"Pass","Fail")</f>
        <v>#REF!</v>
      </c>
    </row>
    <row r="7" spans="1:16" x14ac:dyDescent="0.3">
      <c r="A7" s="9" t="s">
        <v>72</v>
      </c>
      <c r="B7" s="25">
        <v>50.7</v>
      </c>
      <c r="C7" s="25">
        <v>4.9000000000000004</v>
      </c>
      <c r="D7" s="19">
        <v>3.53</v>
      </c>
      <c r="E7" s="25">
        <v>39.299999999999997</v>
      </c>
      <c r="F7" s="26">
        <v>0.06</v>
      </c>
      <c r="G7" s="20">
        <v>34</v>
      </c>
      <c r="H7" s="25">
        <v>29.3</v>
      </c>
      <c r="I7" s="25"/>
      <c r="J7" s="19">
        <v>1.22</v>
      </c>
      <c r="K7" s="19">
        <v>2.4900000000000002</v>
      </c>
      <c r="L7" s="26">
        <v>0.443</v>
      </c>
      <c r="M7" s="24">
        <v>0</v>
      </c>
      <c r="N7" s="27" t="s">
        <v>173</v>
      </c>
      <c r="O7" s="27" t="s">
        <v>173</v>
      </c>
      <c r="P7" s="9" t="e">
        <f>IF(AND(B7&lt;=#REF!,H7&lt;=#REF!,D7&lt;=#REF!,J7&lt;=#REF!,E7&lt;=#REF!,K7&lt;=#REF!,F7&gt;#REF!,L7&gt;#REF!,M7=#REF!,N7="Mesh OK",O7="Mesh OK"),"Pass","Fail")</f>
        <v>#REF!</v>
      </c>
    </row>
    <row r="8" spans="1:16" x14ac:dyDescent="0.3">
      <c r="A8" s="9" t="s">
        <v>73</v>
      </c>
      <c r="B8" s="25">
        <v>49.9</v>
      </c>
      <c r="C8" s="25">
        <v>5.3</v>
      </c>
      <c r="D8" s="19">
        <v>3.56</v>
      </c>
      <c r="E8" s="25">
        <v>47.9</v>
      </c>
      <c r="F8" s="26">
        <v>7.0000000000000007E-2</v>
      </c>
      <c r="G8" s="20">
        <v>91</v>
      </c>
      <c r="H8" s="25">
        <v>29.1</v>
      </c>
      <c r="I8" s="25"/>
      <c r="J8" s="19">
        <v>1.35</v>
      </c>
      <c r="K8" s="19">
        <v>2.5499999999999998</v>
      </c>
      <c r="L8" s="26">
        <v>0.308</v>
      </c>
      <c r="M8" s="24">
        <v>0</v>
      </c>
      <c r="N8" s="27" t="s">
        <v>173</v>
      </c>
      <c r="O8" s="27" t="s">
        <v>173</v>
      </c>
      <c r="P8" s="9" t="e">
        <f>IF(AND(B8&lt;=#REF!,H8&lt;=#REF!,D8&lt;=#REF!,J8&lt;=#REF!,E8&lt;=#REF!,K8&lt;=#REF!,F8&gt;#REF!,L8&gt;#REF!,M8=#REF!,N8="Mesh OK",O8="Mesh OK"),"Pass","Fail")</f>
        <v>#REF!</v>
      </c>
    </row>
    <row r="9" spans="1:16" x14ac:dyDescent="0.3">
      <c r="A9" s="9" t="s">
        <v>74</v>
      </c>
      <c r="B9" s="25">
        <v>67</v>
      </c>
      <c r="C9" s="25">
        <v>11.2</v>
      </c>
      <c r="D9" s="19">
        <v>3.56</v>
      </c>
      <c r="E9" s="25">
        <v>73.599999999999994</v>
      </c>
      <c r="F9" s="26">
        <v>0.05</v>
      </c>
      <c r="G9" s="20">
        <v>15629</v>
      </c>
      <c r="H9" s="25">
        <v>18.899999999999999</v>
      </c>
      <c r="I9" s="25">
        <v>1.7</v>
      </c>
      <c r="J9" s="19">
        <v>0.79</v>
      </c>
      <c r="K9" s="19">
        <v>2.25</v>
      </c>
      <c r="L9" s="26">
        <v>0.20030000000000001</v>
      </c>
      <c r="M9" s="24">
        <v>0</v>
      </c>
      <c r="N9" s="27" t="s">
        <v>173</v>
      </c>
      <c r="O9" s="27" t="s">
        <v>173</v>
      </c>
      <c r="P9" s="9" t="e">
        <f>IF(AND(B9&lt;=#REF!,H9&lt;=#REF!,D9&lt;=#REF!,J9&lt;=#REF!,E9&lt;=#REF!,K9&lt;=#REF!,F9&gt;#REF!,L9&gt;#REF!,M9=#REF!,N9="Mesh OK",O9="Mesh OK"),"Pass","Fail")</f>
        <v>#REF!</v>
      </c>
    </row>
    <row r="10" spans="1:16" x14ac:dyDescent="0.3">
      <c r="A10" s="9" t="s">
        <v>77</v>
      </c>
      <c r="B10" s="25">
        <v>69.5</v>
      </c>
      <c r="C10" s="25">
        <v>13.9</v>
      </c>
      <c r="D10" s="19">
        <v>3.56</v>
      </c>
      <c r="E10" s="25">
        <v>102.9</v>
      </c>
      <c r="F10" s="26">
        <v>0.05</v>
      </c>
      <c r="G10" s="20">
        <v>40762</v>
      </c>
      <c r="H10" s="25">
        <v>20.399999999999999</v>
      </c>
      <c r="I10" s="25">
        <v>2</v>
      </c>
      <c r="J10" s="19">
        <v>0.78</v>
      </c>
      <c r="K10" s="19">
        <v>2.29</v>
      </c>
      <c r="L10" s="26">
        <v>0.2026</v>
      </c>
      <c r="M10" s="24">
        <v>0</v>
      </c>
      <c r="N10" s="27" t="s">
        <v>173</v>
      </c>
      <c r="O10" s="27" t="s">
        <v>173</v>
      </c>
      <c r="P10" s="9" t="e">
        <f>IF(AND(B10&lt;=#REF!,H10&lt;=#REF!,D10&lt;=#REF!,J10&lt;=#REF!,E10&lt;=#REF!,K10&lt;=#REF!,F10&gt;#REF!,L10&gt;#REF!,M10=#REF!,N10="Mesh OK",O10="Mesh OK"),"Pass","Fail")</f>
        <v>#REF!</v>
      </c>
    </row>
    <row r="11" spans="1:16" x14ac:dyDescent="0.3">
      <c r="A11" s="9" t="s">
        <v>78</v>
      </c>
      <c r="B11" s="25">
        <v>69.400000000000006</v>
      </c>
      <c r="C11" s="25">
        <v>10.4</v>
      </c>
      <c r="D11" s="19">
        <v>3.56</v>
      </c>
      <c r="E11" s="25">
        <v>78.5</v>
      </c>
      <c r="F11" s="26">
        <v>0.05</v>
      </c>
      <c r="G11" s="20">
        <v>17719</v>
      </c>
      <c r="H11" s="25">
        <v>22.3</v>
      </c>
      <c r="I11" s="25">
        <v>1.6</v>
      </c>
      <c r="J11" s="19">
        <v>0.81</v>
      </c>
      <c r="K11" s="19">
        <v>2.2200000000000002</v>
      </c>
      <c r="L11" s="26">
        <v>0.20530000000000001</v>
      </c>
      <c r="M11" s="24">
        <v>0</v>
      </c>
      <c r="N11" s="27" t="s">
        <v>173</v>
      </c>
      <c r="O11" s="27" t="s">
        <v>173</v>
      </c>
      <c r="P11" s="9" t="e">
        <f>IF(AND(B11&lt;=#REF!,H11&lt;=#REF!,D11&lt;=#REF!,J11&lt;=#REF!,E11&lt;=#REF!,K11&lt;=#REF!,F11&gt;#REF!,L11&gt;#REF!,M11=#REF!,N11="Mesh OK",O11="Mesh OK"),"Pass","Fail")</f>
        <v>#REF!</v>
      </c>
    </row>
    <row r="13" spans="1:16" x14ac:dyDescent="0.3">
      <c r="A13" s="17" t="s">
        <v>50</v>
      </c>
    </row>
    <row r="14" spans="1:16" x14ac:dyDescent="0.3">
      <c r="A14" s="4" t="s">
        <v>174</v>
      </c>
    </row>
    <row r="15" spans="1:16" x14ac:dyDescent="0.3">
      <c r="A15" s="4" t="s">
        <v>175</v>
      </c>
    </row>
    <row r="16" spans="1:16" x14ac:dyDescent="0.3">
      <c r="A16" s="4" t="s">
        <v>176</v>
      </c>
    </row>
    <row r="17" spans="1:1" x14ac:dyDescent="0.3">
      <c r="A17" s="4" t="s">
        <v>177</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7"/>
  <sheetViews>
    <sheetView showGridLines="0" zoomScaleNormal="100" workbookViewId="0"/>
  </sheetViews>
  <sheetFormatPr defaultColWidth="8.6640625" defaultRowHeight="14.4" x14ac:dyDescent="0.3"/>
  <cols>
    <col min="1" max="1" width="12" customWidth="1"/>
    <col min="2" max="2" width="8" customWidth="1"/>
    <col min="3" max="6" width="11" customWidth="1"/>
    <col min="7" max="8" width="10" customWidth="1"/>
    <col min="9" max="10" width="12" customWidth="1"/>
    <col min="11" max="14" width="10" customWidth="1"/>
    <col min="15" max="15" width="8" customWidth="1"/>
  </cols>
  <sheetData>
    <row r="1" spans="1:15" ht="18" x14ac:dyDescent="0.35">
      <c r="A1" s="3" t="s">
        <v>178</v>
      </c>
    </row>
    <row r="2" spans="1:15" x14ac:dyDescent="0.3">
      <c r="A2" s="4" t="s">
        <v>179</v>
      </c>
    </row>
    <row r="4" spans="1:15" ht="48" customHeight="1" x14ac:dyDescent="0.3">
      <c r="A4" s="5" t="s">
        <v>59</v>
      </c>
      <c r="B4" s="5" t="s">
        <v>61</v>
      </c>
      <c r="C4" s="5" t="s">
        <v>180</v>
      </c>
      <c r="D4" s="5" t="s">
        <v>181</v>
      </c>
      <c r="E4" s="5" t="s">
        <v>182</v>
      </c>
      <c r="F4" s="5" t="s">
        <v>183</v>
      </c>
      <c r="G4" s="5" t="s">
        <v>54</v>
      </c>
      <c r="H4" s="5" t="s">
        <v>55</v>
      </c>
      <c r="I4" s="5" t="s">
        <v>184</v>
      </c>
      <c r="J4" s="5" t="s">
        <v>185</v>
      </c>
      <c r="K4" s="5" t="s">
        <v>186</v>
      </c>
      <c r="L4" s="5" t="s">
        <v>187</v>
      </c>
      <c r="M4" s="5" t="s">
        <v>188</v>
      </c>
      <c r="N4" s="5" t="s">
        <v>189</v>
      </c>
      <c r="O4" s="5" t="s">
        <v>172</v>
      </c>
    </row>
    <row r="5" spans="1:15" x14ac:dyDescent="0.3">
      <c r="A5" s="9" t="s">
        <v>67</v>
      </c>
      <c r="B5" s="11">
        <f>Setup!C5</f>
        <v>0.3</v>
      </c>
      <c r="C5" s="25">
        <v>18.600000000000001</v>
      </c>
      <c r="D5" s="25">
        <v>151.1</v>
      </c>
      <c r="E5" s="25">
        <v>1.7</v>
      </c>
      <c r="F5" s="25"/>
      <c r="G5" s="28">
        <v>-5.9999999999999995E-4</v>
      </c>
      <c r="H5" s="28">
        <v>1.6000000000000001E-3</v>
      </c>
      <c r="I5" s="29">
        <v>39214.25</v>
      </c>
      <c r="J5" s="29">
        <v>39213.97</v>
      </c>
      <c r="K5" s="30">
        <f t="shared" ref="K5:K11" si="0">(I5-J5)/J5</f>
        <v>7.1403124957466902E-6</v>
      </c>
      <c r="L5" s="31">
        <v>1</v>
      </c>
      <c r="M5" s="14">
        <f t="shared" ref="M5:M11" si="1">C5/(B5*1000)</f>
        <v>6.2000000000000006E-2</v>
      </c>
      <c r="N5" s="14">
        <f t="shared" ref="N5:N11" si="2">D5/(B5*1000)</f>
        <v>0.5036666666666666</v>
      </c>
      <c r="O5" s="9" t="e">
        <f>IF(AND(M5&lt;=#REF!,N5&lt;=#REF!,ABS(G5)&lt;=#REF!,ABS(H5)&lt;=#REF!,ABS(K5)&lt;=#REF!,IF(F5="",TRUE(),F5/(B5*1000)&lt;=#REF!)),"Pass","Fail")</f>
        <v>#REF!</v>
      </c>
    </row>
    <row r="6" spans="1:15" x14ac:dyDescent="0.3">
      <c r="A6" s="9" t="s">
        <v>71</v>
      </c>
      <c r="B6" s="11">
        <f>Setup!C6</f>
        <v>0.3</v>
      </c>
      <c r="C6" s="25">
        <v>20.2</v>
      </c>
      <c r="D6" s="25">
        <v>178.7</v>
      </c>
      <c r="E6" s="25">
        <v>1.7</v>
      </c>
      <c r="F6" s="25"/>
      <c r="G6" s="28">
        <v>-2E-3</v>
      </c>
      <c r="H6" s="28">
        <v>3.2000000000000002E-3</v>
      </c>
      <c r="I6" s="29">
        <v>44226.26</v>
      </c>
      <c r="J6" s="29">
        <v>44225.94</v>
      </c>
      <c r="K6" s="30">
        <f t="shared" si="0"/>
        <v>7.2355726073817527E-6</v>
      </c>
      <c r="L6" s="31">
        <v>1</v>
      </c>
      <c r="M6" s="14">
        <f t="shared" si="1"/>
        <v>6.7333333333333328E-2</v>
      </c>
      <c r="N6" s="14">
        <f t="shared" si="2"/>
        <v>0.59566666666666668</v>
      </c>
      <c r="O6" s="9" t="e">
        <f>IF(AND(M6&lt;=#REF!,N6&lt;=#REF!,ABS(G6)&lt;=#REF!,ABS(H6)&lt;=#REF!,ABS(K6)&lt;=#REF!,IF(F6="",TRUE(),F6/(B6*1000)&lt;=#REF!)),"Pass","Fail")</f>
        <v>#REF!</v>
      </c>
    </row>
    <row r="7" spans="1:15" x14ac:dyDescent="0.3">
      <c r="A7" s="9" t="s">
        <v>72</v>
      </c>
      <c r="B7" s="11">
        <f>Setup!C7</f>
        <v>0.3</v>
      </c>
      <c r="C7" s="25">
        <v>19.8</v>
      </c>
      <c r="D7" s="25">
        <v>175.7</v>
      </c>
      <c r="E7" s="25">
        <v>2.2000000000000002</v>
      </c>
      <c r="F7" s="25"/>
      <c r="G7" s="28">
        <v>-8.9999999999999998E-4</v>
      </c>
      <c r="H7" s="28">
        <v>1.4E-3</v>
      </c>
      <c r="I7" s="29">
        <v>48344.85</v>
      </c>
      <c r="J7" s="29">
        <v>48343.27</v>
      </c>
      <c r="K7" s="30">
        <f t="shared" si="0"/>
        <v>3.2682936011605053E-5</v>
      </c>
      <c r="L7" s="31">
        <v>1</v>
      </c>
      <c r="M7" s="14">
        <f t="shared" si="1"/>
        <v>6.6000000000000003E-2</v>
      </c>
      <c r="N7" s="14">
        <f t="shared" si="2"/>
        <v>0.58566666666666667</v>
      </c>
      <c r="O7" s="9" t="e">
        <f>IF(AND(M7&lt;=#REF!,N7&lt;=#REF!,ABS(G7)&lt;=#REF!,ABS(H7)&lt;=#REF!,ABS(K7)&lt;=#REF!,IF(F7="",TRUE(),F7/(B7*1000)&lt;=#REF!)),"Pass","Fail")</f>
        <v>#REF!</v>
      </c>
    </row>
    <row r="8" spans="1:15" x14ac:dyDescent="0.3">
      <c r="A8" s="9" t="s">
        <v>73</v>
      </c>
      <c r="B8" s="11">
        <f>Setup!C8</f>
        <v>0.3</v>
      </c>
      <c r="C8" s="25">
        <v>12.8</v>
      </c>
      <c r="D8" s="25">
        <v>154.19999999999999</v>
      </c>
      <c r="E8" s="25">
        <v>1.8</v>
      </c>
      <c r="F8" s="25"/>
      <c r="G8" s="28">
        <v>2.0000000000000001E-4</v>
      </c>
      <c r="H8" s="28">
        <v>-4.0000000000000003E-5</v>
      </c>
      <c r="I8" s="29">
        <v>39085.33</v>
      </c>
      <c r="J8" s="29">
        <v>39085.040000000001</v>
      </c>
      <c r="K8" s="30">
        <f t="shared" si="0"/>
        <v>7.4197186442913477E-6</v>
      </c>
      <c r="L8" s="31">
        <v>1</v>
      </c>
      <c r="M8" s="14">
        <f t="shared" si="1"/>
        <v>4.2666666666666672E-2</v>
      </c>
      <c r="N8" s="14">
        <f t="shared" si="2"/>
        <v>0.51400000000000001</v>
      </c>
      <c r="O8" s="9" t="e">
        <f>IF(AND(M8&lt;=#REF!,N8&lt;=#REF!,ABS(G8)&lt;=#REF!,ABS(H8)&lt;=#REF!,ABS(K8)&lt;=#REF!,IF(F8="",TRUE(),F8/(B8*1000)&lt;=#REF!)),"Pass","Fail")</f>
        <v>#REF!</v>
      </c>
    </row>
    <row r="9" spans="1:15" x14ac:dyDescent="0.3">
      <c r="A9" s="9" t="s">
        <v>74</v>
      </c>
      <c r="B9" s="11">
        <f>Setup!C9</f>
        <v>0.2</v>
      </c>
      <c r="C9" s="25">
        <v>35.700000000000003</v>
      </c>
      <c r="D9" s="25">
        <v>146.30000000000001</v>
      </c>
      <c r="E9" s="25">
        <v>1.6</v>
      </c>
      <c r="F9" s="25">
        <v>183.2</v>
      </c>
      <c r="G9" s="28">
        <v>4.0000000000000002E-4</v>
      </c>
      <c r="H9" s="28">
        <v>-4.0000000000000002E-4</v>
      </c>
      <c r="I9" s="29">
        <v>44605.88</v>
      </c>
      <c r="J9" s="29">
        <v>44630.53</v>
      </c>
      <c r="K9" s="30">
        <f t="shared" si="0"/>
        <v>-5.5231250894850357E-4</v>
      </c>
      <c r="L9" s="31">
        <v>0.99339999999999995</v>
      </c>
      <c r="M9" s="14">
        <f t="shared" si="1"/>
        <v>0.17850000000000002</v>
      </c>
      <c r="N9" s="14">
        <f t="shared" si="2"/>
        <v>0.73150000000000004</v>
      </c>
      <c r="O9" s="9" t="e">
        <f>IF(AND(M9&lt;=#REF!,N9&lt;=#REF!,ABS(G9)&lt;=#REF!,ABS(H9)&lt;=#REF!,ABS(K9)&lt;=#REF!,IF(F9="",TRUE(),F9/(B9*1000)&lt;=#REF!)),"Pass","Fail")</f>
        <v>#REF!</v>
      </c>
    </row>
    <row r="10" spans="1:15" x14ac:dyDescent="0.3">
      <c r="A10" s="9" t="s">
        <v>77</v>
      </c>
      <c r="B10" s="11">
        <f>Setup!C10</f>
        <v>0.2</v>
      </c>
      <c r="C10" s="25">
        <v>39.200000000000003</v>
      </c>
      <c r="D10" s="25">
        <v>160.19999999999999</v>
      </c>
      <c r="E10" s="25">
        <v>1.7</v>
      </c>
      <c r="F10" s="25">
        <v>183.1</v>
      </c>
      <c r="G10" s="28">
        <v>1.1999999999999999E-3</v>
      </c>
      <c r="H10" s="28">
        <v>-1.1999999999999999E-3</v>
      </c>
      <c r="I10" s="29">
        <v>59045.13</v>
      </c>
      <c r="J10" s="29">
        <v>59073.55</v>
      </c>
      <c r="K10" s="30">
        <f t="shared" si="0"/>
        <v>-4.8109517711404729E-4</v>
      </c>
      <c r="L10" s="31">
        <v>0.99029999999999996</v>
      </c>
      <c r="M10" s="14">
        <f t="shared" si="1"/>
        <v>0.19600000000000001</v>
      </c>
      <c r="N10" s="14">
        <f t="shared" si="2"/>
        <v>0.80099999999999993</v>
      </c>
      <c r="O10" s="9" t="e">
        <f>IF(AND(M10&lt;=#REF!,N10&lt;=#REF!,ABS(G10)&lt;=#REF!,ABS(H10)&lt;=#REF!,ABS(K10)&lt;=#REF!,IF(F10="",TRUE(),F10/(B10*1000)&lt;=#REF!)),"Pass","Fail")</f>
        <v>#REF!</v>
      </c>
    </row>
    <row r="11" spans="1:15" x14ac:dyDescent="0.3">
      <c r="A11" s="9" t="s">
        <v>78</v>
      </c>
      <c r="B11" s="11">
        <f>Setup!C11</f>
        <v>0.2</v>
      </c>
      <c r="C11" s="25">
        <v>33.9</v>
      </c>
      <c r="D11" s="25">
        <v>148</v>
      </c>
      <c r="E11" s="25">
        <v>1.7</v>
      </c>
      <c r="F11" s="25">
        <v>183</v>
      </c>
      <c r="G11" s="28">
        <v>4.0000000000000002E-4</v>
      </c>
      <c r="H11" s="28">
        <v>-2.9999999999999997E-4</v>
      </c>
      <c r="I11" s="29">
        <v>45597.99</v>
      </c>
      <c r="J11" s="29">
        <v>45591.07</v>
      </c>
      <c r="K11" s="30">
        <f t="shared" si="0"/>
        <v>1.5178411035315147E-4</v>
      </c>
      <c r="L11" s="31">
        <v>0.99480000000000002</v>
      </c>
      <c r="M11" s="14">
        <f t="shared" si="1"/>
        <v>0.16949999999999998</v>
      </c>
      <c r="N11" s="14">
        <f t="shared" si="2"/>
        <v>0.74</v>
      </c>
      <c r="O11" s="9" t="e">
        <f>IF(AND(M11&lt;=#REF!,N11&lt;=#REF!,ABS(G11)&lt;=#REF!,ABS(H11)&lt;=#REF!,ABS(K11)&lt;=#REF!,IF(F11="",TRUE(),F11/(B11*1000)&lt;=#REF!)),"Pass","Fail")</f>
        <v>#REF!</v>
      </c>
    </row>
    <row r="13" spans="1:15" x14ac:dyDescent="0.3">
      <c r="A13" s="17" t="s">
        <v>50</v>
      </c>
    </row>
    <row r="14" spans="1:15" x14ac:dyDescent="0.3">
      <c r="A14" s="4" t="s">
        <v>190</v>
      </c>
    </row>
    <row r="15" spans="1:15" x14ac:dyDescent="0.3">
      <c r="A15" s="4" t="s">
        <v>191</v>
      </c>
    </row>
    <row r="16" spans="1:15" x14ac:dyDescent="0.3">
      <c r="A16" s="4" t="s">
        <v>192</v>
      </c>
    </row>
    <row r="17" spans="1:1" x14ac:dyDescent="0.3">
      <c r="A17" s="4" t="s">
        <v>193</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6"/>
  <sheetViews>
    <sheetView showGridLines="0" zoomScaleNormal="100" workbookViewId="0"/>
  </sheetViews>
  <sheetFormatPr defaultColWidth="8.6640625" defaultRowHeight="14.4" x14ac:dyDescent="0.3"/>
  <cols>
    <col min="1" max="1" width="12" customWidth="1"/>
    <col min="2" max="2" width="7" customWidth="1"/>
    <col min="3" max="3" width="8" customWidth="1"/>
    <col min="4" max="5" width="9" customWidth="1"/>
    <col min="6" max="6" width="10" customWidth="1"/>
    <col min="7" max="8" width="9" customWidth="1"/>
    <col min="9" max="11" width="10" customWidth="1"/>
    <col min="12" max="13" width="8" customWidth="1"/>
    <col min="14" max="15" width="10" customWidth="1"/>
    <col min="16" max="16" width="12" customWidth="1"/>
  </cols>
  <sheetData>
    <row r="1" spans="1:16" ht="18" x14ac:dyDescent="0.35">
      <c r="A1" s="3" t="s">
        <v>194</v>
      </c>
    </row>
    <row r="2" spans="1:16" x14ac:dyDescent="0.3">
      <c r="A2" s="4" t="s">
        <v>195</v>
      </c>
    </row>
    <row r="4" spans="1:16" ht="48" customHeight="1" x14ac:dyDescent="0.3">
      <c r="A4" s="5" t="s">
        <v>59</v>
      </c>
      <c r="B4" s="5" t="s">
        <v>196</v>
      </c>
      <c r="C4" s="5" t="s">
        <v>197</v>
      </c>
      <c r="D4" s="5" t="s">
        <v>198</v>
      </c>
      <c r="E4" s="5" t="s">
        <v>199</v>
      </c>
      <c r="F4" s="5" t="s">
        <v>200</v>
      </c>
      <c r="G4" s="5" t="s">
        <v>201</v>
      </c>
      <c r="H4" s="5" t="s">
        <v>202</v>
      </c>
      <c r="I4" s="5" t="s">
        <v>203</v>
      </c>
      <c r="J4" s="5" t="s">
        <v>204</v>
      </c>
      <c r="K4" s="5" t="s">
        <v>205</v>
      </c>
      <c r="L4" s="5" t="s">
        <v>206</v>
      </c>
      <c r="M4" s="5" t="s">
        <v>207</v>
      </c>
      <c r="N4" s="5" t="s">
        <v>208</v>
      </c>
      <c r="O4" s="5" t="s">
        <v>209</v>
      </c>
      <c r="P4" s="5" t="s">
        <v>210</v>
      </c>
    </row>
    <row r="5" spans="1:16" x14ac:dyDescent="0.3">
      <c r="A5" s="9" t="s">
        <v>67</v>
      </c>
      <c r="B5" s="24">
        <v>5</v>
      </c>
      <c r="C5" s="19">
        <v>1.3</v>
      </c>
      <c r="D5" s="19">
        <v>0.4</v>
      </c>
      <c r="E5" s="8">
        <f>Setup!C5*1000</f>
        <v>300</v>
      </c>
      <c r="F5" s="10">
        <f t="shared" ref="F5:F11" si="0">D5*E5</f>
        <v>120</v>
      </c>
      <c r="G5" s="10">
        <f t="shared" ref="G5:G11" si="1">F5*(C5-1)/(C5^B5-1)</f>
        <v>13.269785803540818</v>
      </c>
      <c r="H5" s="10">
        <f t="shared" ref="H5:H11" si="2">G5*C5^(B5-1)</f>
        <v>37.899835233492936</v>
      </c>
      <c r="I5" s="10">
        <f t="shared" ref="I5:I11" si="3">E5-F5</f>
        <v>180</v>
      </c>
      <c r="J5" s="10">
        <f t="shared" ref="J5:J11" si="4">I5/H5</f>
        <v>4.7493610167711218</v>
      </c>
      <c r="K5" s="32">
        <v>1</v>
      </c>
      <c r="L5" s="19">
        <v>0.49</v>
      </c>
      <c r="M5" s="19">
        <v>4.88</v>
      </c>
      <c r="N5" s="9" t="e">
        <f>IF(L5&lt;#REF!,"Pass","Fail")</f>
        <v>#REF!</v>
      </c>
      <c r="O5" s="9" t="e">
        <f>IF(K5&gt;=#REF!,"Pass","Fail")</f>
        <v>#REF!</v>
      </c>
      <c r="P5" s="6" t="e">
        <f>IF(C5&lt;=#REF!,"Within","Above guideline")</f>
        <v>#REF!</v>
      </c>
    </row>
    <row r="6" spans="1:16" x14ac:dyDescent="0.3">
      <c r="A6" s="9" t="s">
        <v>71</v>
      </c>
      <c r="B6" s="24">
        <v>5</v>
      </c>
      <c r="C6" s="19">
        <v>1.3</v>
      </c>
      <c r="D6" s="19">
        <v>0.4</v>
      </c>
      <c r="E6" s="8">
        <f>Setup!C6*1000</f>
        <v>300</v>
      </c>
      <c r="F6" s="10">
        <f t="shared" si="0"/>
        <v>120</v>
      </c>
      <c r="G6" s="10">
        <f t="shared" si="1"/>
        <v>13.269785803540818</v>
      </c>
      <c r="H6" s="10">
        <f t="shared" si="2"/>
        <v>37.899835233492936</v>
      </c>
      <c r="I6" s="10">
        <f t="shared" si="3"/>
        <v>180</v>
      </c>
      <c r="J6" s="10">
        <f t="shared" si="4"/>
        <v>4.7493610167711218</v>
      </c>
      <c r="K6" s="32">
        <v>1</v>
      </c>
      <c r="L6" s="19">
        <v>0.6</v>
      </c>
      <c r="M6" s="19">
        <v>5.25</v>
      </c>
      <c r="N6" s="9" t="e">
        <f>IF(L6&lt;#REF!,"Pass","Fail")</f>
        <v>#REF!</v>
      </c>
      <c r="O6" s="9" t="e">
        <f>IF(K6&gt;=#REF!,"Pass","Fail")</f>
        <v>#REF!</v>
      </c>
      <c r="P6" s="6" t="e">
        <f>IF(C6&lt;=#REF!,"Within","Above guideline")</f>
        <v>#REF!</v>
      </c>
    </row>
    <row r="7" spans="1:16" x14ac:dyDescent="0.3">
      <c r="A7" s="9" t="s">
        <v>72</v>
      </c>
      <c r="B7" s="24">
        <v>5</v>
      </c>
      <c r="C7" s="19">
        <v>1.3</v>
      </c>
      <c r="D7" s="19">
        <v>0.4</v>
      </c>
      <c r="E7" s="8">
        <f>Setup!C7*1000</f>
        <v>300</v>
      </c>
      <c r="F7" s="10">
        <f t="shared" si="0"/>
        <v>120</v>
      </c>
      <c r="G7" s="10">
        <f t="shared" si="1"/>
        <v>13.269785803540818</v>
      </c>
      <c r="H7" s="10">
        <f t="shared" si="2"/>
        <v>37.899835233492936</v>
      </c>
      <c r="I7" s="10">
        <f t="shared" si="3"/>
        <v>180</v>
      </c>
      <c r="J7" s="10">
        <f t="shared" si="4"/>
        <v>4.7493610167711218</v>
      </c>
      <c r="K7" s="32">
        <v>1</v>
      </c>
      <c r="L7" s="19">
        <v>0.4</v>
      </c>
      <c r="M7" s="19">
        <v>4.13</v>
      </c>
      <c r="N7" s="9" t="e">
        <f>IF(L7&lt;#REF!,"Pass","Fail")</f>
        <v>#REF!</v>
      </c>
      <c r="O7" s="9" t="e">
        <f>IF(K7&gt;=#REF!,"Pass","Fail")</f>
        <v>#REF!</v>
      </c>
      <c r="P7" s="6" t="e">
        <f>IF(C7&lt;=#REF!,"Within","Above guideline")</f>
        <v>#REF!</v>
      </c>
    </row>
    <row r="8" spans="1:16" x14ac:dyDescent="0.3">
      <c r="A8" s="9" t="s">
        <v>73</v>
      </c>
      <c r="B8" s="24">
        <v>5</v>
      </c>
      <c r="C8" s="19">
        <v>1.3</v>
      </c>
      <c r="D8" s="19">
        <v>0.4</v>
      </c>
      <c r="E8" s="8">
        <f>Setup!C8*1000</f>
        <v>300</v>
      </c>
      <c r="F8" s="10">
        <f t="shared" si="0"/>
        <v>120</v>
      </c>
      <c r="G8" s="10">
        <f t="shared" si="1"/>
        <v>13.269785803540818</v>
      </c>
      <c r="H8" s="10">
        <f t="shared" si="2"/>
        <v>37.899835233492936</v>
      </c>
      <c r="I8" s="10">
        <f t="shared" si="3"/>
        <v>180</v>
      </c>
      <c r="J8" s="10">
        <f t="shared" si="4"/>
        <v>4.7493610167711218</v>
      </c>
      <c r="K8" s="32">
        <v>1</v>
      </c>
      <c r="L8" s="19">
        <v>0.57999999999999996</v>
      </c>
      <c r="M8" s="19">
        <v>4.7300000000000004</v>
      </c>
      <c r="N8" s="9" t="e">
        <f>IF(L8&lt;#REF!,"Pass","Fail")</f>
        <v>#REF!</v>
      </c>
      <c r="O8" s="9" t="e">
        <f>IF(K8&gt;=#REF!,"Pass","Fail")</f>
        <v>#REF!</v>
      </c>
      <c r="P8" s="6" t="e">
        <f>IF(C8&lt;=#REF!,"Within","Above guideline")</f>
        <v>#REF!</v>
      </c>
    </row>
    <row r="9" spans="1:16" x14ac:dyDescent="0.3">
      <c r="A9" s="9" t="s">
        <v>74</v>
      </c>
      <c r="B9" s="24">
        <v>5</v>
      </c>
      <c r="C9" s="19">
        <v>1.3</v>
      </c>
      <c r="D9" s="19">
        <v>0.4</v>
      </c>
      <c r="E9" s="8">
        <f>Setup!C9*1000</f>
        <v>200</v>
      </c>
      <c r="F9" s="10">
        <f t="shared" si="0"/>
        <v>80</v>
      </c>
      <c r="G9" s="10">
        <f t="shared" si="1"/>
        <v>8.8465238690272123</v>
      </c>
      <c r="H9" s="10">
        <f t="shared" si="2"/>
        <v>25.266556822328624</v>
      </c>
      <c r="I9" s="10">
        <f t="shared" si="3"/>
        <v>120</v>
      </c>
      <c r="J9" s="10">
        <f t="shared" si="4"/>
        <v>4.7493610167711218</v>
      </c>
      <c r="K9" s="32">
        <v>1</v>
      </c>
      <c r="L9" s="19">
        <v>0.57999999999999996</v>
      </c>
      <c r="M9" s="19">
        <v>4.47</v>
      </c>
      <c r="N9" s="9" t="e">
        <f>IF(L9&lt;#REF!,"Pass","Fail")</f>
        <v>#REF!</v>
      </c>
      <c r="O9" s="9" t="e">
        <f>IF(K9&gt;=#REF!,"Pass","Fail")</f>
        <v>#REF!</v>
      </c>
      <c r="P9" s="6" t="e">
        <f>IF(C9&lt;=#REF!,"Within","Above guideline")</f>
        <v>#REF!</v>
      </c>
    </row>
    <row r="10" spans="1:16" x14ac:dyDescent="0.3">
      <c r="A10" s="9" t="s">
        <v>77</v>
      </c>
      <c r="B10" s="24">
        <v>5</v>
      </c>
      <c r="C10" s="19">
        <v>1.3</v>
      </c>
      <c r="D10" s="19">
        <v>0.4</v>
      </c>
      <c r="E10" s="8">
        <f>Setup!C10*1000</f>
        <v>200</v>
      </c>
      <c r="F10" s="10">
        <f t="shared" si="0"/>
        <v>80</v>
      </c>
      <c r="G10" s="10">
        <f t="shared" si="1"/>
        <v>8.8465238690272123</v>
      </c>
      <c r="H10" s="10">
        <f t="shared" si="2"/>
        <v>25.266556822328624</v>
      </c>
      <c r="I10" s="10">
        <f t="shared" si="3"/>
        <v>120</v>
      </c>
      <c r="J10" s="10">
        <f t="shared" si="4"/>
        <v>4.7493610167711218</v>
      </c>
      <c r="K10" s="32">
        <v>0.99834999999999996</v>
      </c>
      <c r="L10" s="19">
        <v>0.59</v>
      </c>
      <c r="M10" s="19">
        <v>30.2</v>
      </c>
      <c r="N10" s="9" t="e">
        <f>IF(L10&lt;#REF!,"Pass","Fail")</f>
        <v>#REF!</v>
      </c>
      <c r="O10" s="9" t="e">
        <f>IF(K10&gt;=#REF!,"Pass","Fail")</f>
        <v>#REF!</v>
      </c>
      <c r="P10" s="6" t="e">
        <f>IF(C10&lt;=#REF!,"Within","Above guideline")</f>
        <v>#REF!</v>
      </c>
    </row>
    <row r="11" spans="1:16" x14ac:dyDescent="0.3">
      <c r="A11" s="9" t="s">
        <v>78</v>
      </c>
      <c r="B11" s="24">
        <v>5</v>
      </c>
      <c r="C11" s="19">
        <v>1.3</v>
      </c>
      <c r="D11" s="19">
        <v>0.4</v>
      </c>
      <c r="E11" s="8">
        <f>Setup!C11*1000</f>
        <v>200</v>
      </c>
      <c r="F11" s="10">
        <f t="shared" si="0"/>
        <v>80</v>
      </c>
      <c r="G11" s="10">
        <f t="shared" si="1"/>
        <v>8.8465238690272123</v>
      </c>
      <c r="H11" s="10">
        <f t="shared" si="2"/>
        <v>25.266556822328624</v>
      </c>
      <c r="I11" s="10">
        <f t="shared" si="3"/>
        <v>120</v>
      </c>
      <c r="J11" s="10">
        <f t="shared" si="4"/>
        <v>4.7493610167711218</v>
      </c>
      <c r="K11" s="32">
        <v>1</v>
      </c>
      <c r="L11" s="19">
        <v>0.56999999999999995</v>
      </c>
      <c r="M11" s="19">
        <v>4.55</v>
      </c>
      <c r="N11" s="9" t="e">
        <f>IF(L11&lt;#REF!,"Pass","Fail")</f>
        <v>#REF!</v>
      </c>
      <c r="O11" s="9" t="e">
        <f>IF(K11&gt;=#REF!,"Pass","Fail")</f>
        <v>#REF!</v>
      </c>
      <c r="P11" s="6" t="e">
        <f>IF(C11&lt;=#REF!,"Within","Above guideline")</f>
        <v>#REF!</v>
      </c>
    </row>
    <row r="13" spans="1:16" x14ac:dyDescent="0.3">
      <c r="A13" s="17" t="s">
        <v>50</v>
      </c>
    </row>
    <row r="14" spans="1:16" x14ac:dyDescent="0.3">
      <c r="A14" s="4" t="s">
        <v>211</v>
      </c>
    </row>
    <row r="15" spans="1:16" x14ac:dyDescent="0.3">
      <c r="A15" s="4" t="s">
        <v>212</v>
      </c>
    </row>
    <row r="16" spans="1:16" x14ac:dyDescent="0.3">
      <c r="A16" s="4" t="s">
        <v>213</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6"/>
  <sheetViews>
    <sheetView showGridLines="0" tabSelected="1" zoomScaleNormal="100" workbookViewId="0">
      <selection activeCell="J22" sqref="J22"/>
    </sheetView>
  </sheetViews>
  <sheetFormatPr defaultColWidth="8.6640625" defaultRowHeight="14.4" x14ac:dyDescent="0.3"/>
  <cols>
    <col min="1" max="1" width="12" customWidth="1"/>
    <col min="2" max="9" width="10" customWidth="1"/>
    <col min="10" max="13" width="9" customWidth="1"/>
    <col min="14" max="14" width="10" customWidth="1"/>
    <col min="15" max="16" width="11" customWidth="1"/>
    <col min="17" max="17" width="9" customWidth="1"/>
    <col min="18" max="19" width="10" customWidth="1"/>
  </cols>
  <sheetData>
    <row r="1" spans="1:19" ht="18" x14ac:dyDescent="0.35">
      <c r="A1" s="3" t="s">
        <v>214</v>
      </c>
    </row>
    <row r="2" spans="1:19" x14ac:dyDescent="0.3">
      <c r="A2" s="4" t="s">
        <v>215</v>
      </c>
    </row>
    <row r="4" spans="1:19" ht="48" customHeight="1" x14ac:dyDescent="0.3">
      <c r="A4" s="5" t="s">
        <v>59</v>
      </c>
      <c r="B4" s="5" t="s">
        <v>216</v>
      </c>
      <c r="C4" s="5" t="s">
        <v>217</v>
      </c>
      <c r="D4" s="5" t="s">
        <v>218</v>
      </c>
      <c r="E4" s="5" t="s">
        <v>41</v>
      </c>
      <c r="F4" s="5" t="s">
        <v>219</v>
      </c>
      <c r="G4" s="5" t="s">
        <v>220</v>
      </c>
      <c r="H4" s="5" t="s">
        <v>221</v>
      </c>
      <c r="I4" s="5" t="s">
        <v>222</v>
      </c>
      <c r="J4" s="5" t="s">
        <v>43</v>
      </c>
      <c r="K4" s="5" t="s">
        <v>223</v>
      </c>
      <c r="L4" s="5" t="s">
        <v>224</v>
      </c>
      <c r="M4" s="5" t="s">
        <v>225</v>
      </c>
      <c r="N4" s="5" t="s">
        <v>226</v>
      </c>
      <c r="O4" s="5" t="s">
        <v>227</v>
      </c>
      <c r="P4" s="5" t="s">
        <v>228</v>
      </c>
      <c r="Q4" s="5" t="s">
        <v>229</v>
      </c>
      <c r="R4" s="5" t="s">
        <v>230</v>
      </c>
      <c r="S4" s="5" t="s">
        <v>231</v>
      </c>
    </row>
    <row r="5" spans="1:19" x14ac:dyDescent="0.3">
      <c r="A5" s="9" t="s">
        <v>67</v>
      </c>
      <c r="B5" s="20">
        <v>6034.9966000000004</v>
      </c>
      <c r="C5" s="19">
        <v>5.8065287000000003</v>
      </c>
      <c r="D5" s="19">
        <v>6.1049775000000102</v>
      </c>
      <c r="E5" s="19">
        <v>320.47801199999998</v>
      </c>
      <c r="F5" s="19">
        <v>319.50556699999999</v>
      </c>
      <c r="G5" s="19">
        <v>320.81882000000002</v>
      </c>
      <c r="H5" s="19">
        <v>313.56016199999999</v>
      </c>
      <c r="I5" s="26">
        <v>295.875426</v>
      </c>
      <c r="J5" s="11">
        <f t="shared" ref="J5:J11" si="0">B5/1000</f>
        <v>6.0349966000000004</v>
      </c>
      <c r="K5" s="11">
        <f>E5-Setup!$B$28</f>
        <v>47.328012000000001</v>
      </c>
      <c r="L5" s="11">
        <f>H5-Setup!$B$28</f>
        <v>40.410162000000014</v>
      </c>
      <c r="M5" s="11">
        <f>I5-Setup!$B$28</f>
        <v>22.725426000000027</v>
      </c>
      <c r="N5" s="12">
        <f>I5-Setup!$B$16</f>
        <v>2.8754260000000045</v>
      </c>
      <c r="O5" s="11">
        <f>(E5-Setup!$B$16)/Setup!$B$17*1000</f>
        <v>13.739005999999989</v>
      </c>
      <c r="P5" s="11">
        <f>(H5-Setup!$B$16)/Setup!$B$17*1000</f>
        <v>10.280080999999996</v>
      </c>
      <c r="Q5" s="12">
        <f>B5*Setup!$B$27/Setup!$B$26</f>
        <v>1.0058329685580405</v>
      </c>
      <c r="R5" s="11">
        <f t="shared" ref="R5:R11" si="1">IF(C5="","",D5-C5)</f>
        <v>0.29844880000000984</v>
      </c>
      <c r="S5" s="11">
        <f t="shared" ref="S5:S11" si="2">IF(F5="","",G5-F5)</f>
        <v>1.3132530000000315</v>
      </c>
    </row>
    <row r="6" spans="1:19" x14ac:dyDescent="0.3">
      <c r="A6" s="9" t="s">
        <v>71</v>
      </c>
      <c r="B6" s="20">
        <v>7055.9957000000004</v>
      </c>
      <c r="C6" s="19">
        <v>6.74832370000001</v>
      </c>
      <c r="D6" s="19">
        <v>7.4470567000000001</v>
      </c>
      <c r="E6" s="19">
        <v>311.37964699999998</v>
      </c>
      <c r="F6" s="19">
        <v>310.95514500000002</v>
      </c>
      <c r="G6" s="19">
        <v>311.59626400000002</v>
      </c>
      <c r="H6" s="19">
        <v>305.25206300000002</v>
      </c>
      <c r="I6" s="26">
        <v>295.87542999999999</v>
      </c>
      <c r="J6" s="11">
        <f t="shared" si="0"/>
        <v>7.0559957000000004</v>
      </c>
      <c r="K6" s="11">
        <f>E6-Setup!$B$28</f>
        <v>38.229647</v>
      </c>
      <c r="L6" s="11">
        <f>H6-Setup!$B$28</f>
        <v>32.102063000000044</v>
      </c>
      <c r="M6" s="11">
        <f>I6-Setup!$B$28</f>
        <v>22.725430000000017</v>
      </c>
      <c r="N6" s="12">
        <f>I6-Setup!$B$16</f>
        <v>2.8754299999999944</v>
      </c>
      <c r="O6" s="11">
        <f>(E6-Setup!$B$16)/Setup!$B$17*1000</f>
        <v>9.1898234999999886</v>
      </c>
      <c r="P6" s="11">
        <f>(H6-Setup!$B$16)/Setup!$B$17*1000</f>
        <v>6.1260315000000105</v>
      </c>
      <c r="Q6" s="12">
        <f>B6*Setup!$B$27/Setup!$B$26</f>
        <v>1.1759995193806354</v>
      </c>
      <c r="R6" s="11">
        <f t="shared" si="1"/>
        <v>0.69873299999999006</v>
      </c>
      <c r="S6" s="11">
        <f t="shared" si="2"/>
        <v>0.64111900000000333</v>
      </c>
    </row>
    <row r="7" spans="1:19" x14ac:dyDescent="0.3">
      <c r="A7" s="9" t="s">
        <v>72</v>
      </c>
      <c r="B7" s="20">
        <v>4980.1742999999997</v>
      </c>
      <c r="C7" s="19">
        <v>4.7555652000000004</v>
      </c>
      <c r="D7" s="19">
        <v>4.9985874999999904</v>
      </c>
      <c r="E7" s="19">
        <v>317.28952700000002</v>
      </c>
      <c r="F7" s="19">
        <v>317.214561</v>
      </c>
      <c r="G7" s="19">
        <v>317.42137600000001</v>
      </c>
      <c r="H7" s="19">
        <v>310.983496</v>
      </c>
      <c r="I7" s="26">
        <v>295.875338</v>
      </c>
      <c r="J7" s="11">
        <f t="shared" si="0"/>
        <v>4.9801742999999998</v>
      </c>
      <c r="K7" s="11">
        <f>E7-Setup!$B$28</f>
        <v>44.139527000000044</v>
      </c>
      <c r="L7" s="11">
        <f>H7-Setup!$B$28</f>
        <v>37.833496000000025</v>
      </c>
      <c r="M7" s="11">
        <f>I7-Setup!$B$28</f>
        <v>22.725338000000022</v>
      </c>
      <c r="N7" s="12">
        <f>I7-Setup!$B$16</f>
        <v>2.8753379999999993</v>
      </c>
      <c r="O7" s="11">
        <f>(E7-Setup!$B$16)/Setup!$B$17*1000</f>
        <v>12.14476350000001</v>
      </c>
      <c r="P7" s="11">
        <f>(H7-Setup!$B$16)/Setup!$B$17*1000</f>
        <v>8.9917480000000012</v>
      </c>
      <c r="Q7" s="12">
        <f>B7*Setup!$B$27/Setup!$B$26</f>
        <v>0.83002921660394313</v>
      </c>
      <c r="R7" s="11">
        <f t="shared" si="1"/>
        <v>0.24302229999999003</v>
      </c>
      <c r="S7" s="11">
        <f t="shared" si="2"/>
        <v>0.20681500000000597</v>
      </c>
    </row>
    <row r="8" spans="1:19" x14ac:dyDescent="0.3">
      <c r="A8" s="9" t="s">
        <v>73</v>
      </c>
      <c r="B8" s="20">
        <v>8013.7923000000001</v>
      </c>
      <c r="C8" s="19">
        <v>7.7116800000000101</v>
      </c>
      <c r="D8" s="19">
        <v>8.0555433999999906</v>
      </c>
      <c r="E8" s="19">
        <v>312.69831099999999</v>
      </c>
      <c r="F8" s="19">
        <v>312.23227200000002</v>
      </c>
      <c r="G8" s="19">
        <v>312.903032</v>
      </c>
      <c r="H8" s="19">
        <v>307.37116400000002</v>
      </c>
      <c r="I8" s="26">
        <v>295.87528700000001</v>
      </c>
      <c r="J8" s="11">
        <f t="shared" si="0"/>
        <v>8.0137923000000004</v>
      </c>
      <c r="K8" s="11">
        <f>E8-Setup!$B$28</f>
        <v>39.548311000000012</v>
      </c>
      <c r="L8" s="11">
        <f>H8-Setup!$B$28</f>
        <v>34.221164000000044</v>
      </c>
      <c r="M8" s="11">
        <f>I8-Setup!$B$28</f>
        <v>22.725287000000037</v>
      </c>
      <c r="N8" s="12">
        <f>I8-Setup!$B$16</f>
        <v>2.8752870000000144</v>
      </c>
      <c r="O8" s="11">
        <f>(E8-Setup!$B$16)/Setup!$B$17*1000</f>
        <v>9.8491554999999948</v>
      </c>
      <c r="P8" s="11">
        <f>(H8-Setup!$B$16)/Setup!$B$17*1000</f>
        <v>7.1855820000000108</v>
      </c>
      <c r="Q8" s="12">
        <f>B8*Setup!$B$27/Setup!$B$26</f>
        <v>1.3356323180888894</v>
      </c>
      <c r="R8" s="11">
        <f t="shared" si="1"/>
        <v>0.3438633999999805</v>
      </c>
      <c r="S8" s="11">
        <f t="shared" si="2"/>
        <v>0.67075999999997293</v>
      </c>
    </row>
    <row r="9" spans="1:19" x14ac:dyDescent="0.3">
      <c r="A9" s="9" t="s">
        <v>74</v>
      </c>
      <c r="B9" s="20">
        <v>37023.728900000002</v>
      </c>
      <c r="C9" s="19">
        <v>35.9627269</v>
      </c>
      <c r="D9" s="19">
        <v>37.023728900000002</v>
      </c>
      <c r="E9" s="19">
        <v>307.55256900000001</v>
      </c>
      <c r="F9" s="19">
        <v>307.38309600000002</v>
      </c>
      <c r="G9" s="19">
        <v>307.60929099999998</v>
      </c>
      <c r="H9" s="19">
        <v>303.09878400000002</v>
      </c>
      <c r="I9" s="26">
        <v>295.87634000000003</v>
      </c>
      <c r="J9" s="11">
        <f t="shared" si="0"/>
        <v>37.023728900000002</v>
      </c>
      <c r="K9" s="11">
        <f>E9-Setup!$B$28</f>
        <v>34.402569000000028</v>
      </c>
      <c r="L9" s="11">
        <f>H9-Setup!$B$28</f>
        <v>29.948784000000046</v>
      </c>
      <c r="M9" s="11">
        <f>I9-Setup!$B$28</f>
        <v>22.72634000000005</v>
      </c>
      <c r="N9" s="12">
        <f>I9-Setup!$B$16</f>
        <v>2.8763400000000274</v>
      </c>
      <c r="O9" s="11">
        <f>(E9-Setup!$B$16)/Setup!$B$17*1000</f>
        <v>7.2762845000000027</v>
      </c>
      <c r="P9" s="11">
        <f>(H9-Setup!$B$16)/Setup!$B$17*1000</f>
        <v>5.0493920000000116</v>
      </c>
      <c r="Q9" s="12">
        <f>B9*Setup!$B$27/Setup!$B$26</f>
        <v>6.1706227219042855</v>
      </c>
      <c r="R9" s="11">
        <f t="shared" si="1"/>
        <v>1.061002000000002</v>
      </c>
      <c r="S9" s="11">
        <f t="shared" si="2"/>
        <v>0.22619499999996151</v>
      </c>
    </row>
    <row r="10" spans="1:19" x14ac:dyDescent="0.3">
      <c r="A10" s="9" t="s">
        <v>77</v>
      </c>
      <c r="B10" s="20">
        <v>45113.003499999999</v>
      </c>
      <c r="C10" s="19"/>
      <c r="D10" s="19"/>
      <c r="E10" s="19">
        <v>309.04707999999999</v>
      </c>
      <c r="F10" s="19"/>
      <c r="G10" s="19"/>
      <c r="H10" s="19">
        <v>301.47740800000003</v>
      </c>
      <c r="I10" s="26">
        <v>295.87910900000003</v>
      </c>
      <c r="J10" s="11">
        <f t="shared" si="0"/>
        <v>45.113003499999998</v>
      </c>
      <c r="K10" s="11">
        <f>E10-Setup!$B$28</f>
        <v>35.897080000000017</v>
      </c>
      <c r="L10" s="11">
        <f>H10-Setup!$B$28</f>
        <v>28.327408000000048</v>
      </c>
      <c r="M10" s="11">
        <f>I10-Setup!$B$28</f>
        <v>22.729109000000051</v>
      </c>
      <c r="N10" s="12">
        <f>I10-Setup!$B$16</f>
        <v>2.8791090000000281</v>
      </c>
      <c r="O10" s="11">
        <f>(E10-Setup!$B$16)/Setup!$B$17*1000</f>
        <v>8.023539999999997</v>
      </c>
      <c r="P10" s="11">
        <f>(H10-Setup!$B$16)/Setup!$B$17*1000</f>
        <v>4.2387040000000127</v>
      </c>
      <c r="Q10" s="12">
        <f>B10*Setup!$B$27/Setup!$B$26</f>
        <v>7.5188354258516501</v>
      </c>
      <c r="R10" s="11" t="str">
        <f t="shared" si="1"/>
        <v/>
      </c>
      <c r="S10" s="11" t="str">
        <f t="shared" si="2"/>
        <v/>
      </c>
    </row>
    <row r="11" spans="1:19" x14ac:dyDescent="0.3">
      <c r="A11" s="9" t="s">
        <v>78</v>
      </c>
      <c r="B11" s="20">
        <v>42047.688300000002</v>
      </c>
      <c r="C11" s="19"/>
      <c r="D11" s="19"/>
      <c r="E11" s="19">
        <v>309.03550200000001</v>
      </c>
      <c r="F11" s="19"/>
      <c r="G11" s="19"/>
      <c r="H11" s="19">
        <v>304.01581800000002</v>
      </c>
      <c r="I11" s="26">
        <v>295.87640199999998</v>
      </c>
      <c r="J11" s="11">
        <f t="shared" si="0"/>
        <v>42.047688300000004</v>
      </c>
      <c r="K11" s="11">
        <f>E11-Setup!$B$28</f>
        <v>35.885502000000031</v>
      </c>
      <c r="L11" s="11">
        <f>H11-Setup!$B$28</f>
        <v>30.865818000000047</v>
      </c>
      <c r="M11" s="11">
        <f>I11-Setup!$B$28</f>
        <v>22.726402000000007</v>
      </c>
      <c r="N11" s="12">
        <f>I11-Setup!$B$16</f>
        <v>2.8764019999999846</v>
      </c>
      <c r="O11" s="11">
        <f>(E11-Setup!$B$16)/Setup!$B$17*1000</f>
        <v>8.0177510000000041</v>
      </c>
      <c r="P11" s="11">
        <f>(H11-Setup!$B$16)/Setup!$B$17*1000</f>
        <v>5.5079090000000122</v>
      </c>
      <c r="Q11" s="12">
        <f>B11*Setup!$B$27/Setup!$B$26</f>
        <v>7.0079494566396576</v>
      </c>
      <c r="R11" s="11" t="str">
        <f t="shared" si="1"/>
        <v/>
      </c>
      <c r="S11" s="11" t="str">
        <f t="shared" si="2"/>
        <v/>
      </c>
    </row>
    <row r="13" spans="1:19" x14ac:dyDescent="0.3">
      <c r="A13" s="17" t="s">
        <v>50</v>
      </c>
    </row>
    <row r="14" spans="1:19" x14ac:dyDescent="0.3">
      <c r="A14" s="4" t="s">
        <v>232</v>
      </c>
    </row>
    <row r="15" spans="1:19" x14ac:dyDescent="0.3">
      <c r="A15" s="4" t="s">
        <v>233</v>
      </c>
    </row>
    <row r="16" spans="1:19" x14ac:dyDescent="0.3">
      <c r="A16" s="4" t="s">
        <v>234</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6"/>
  <sheetViews>
    <sheetView showGridLines="0" zoomScaleNormal="100" workbookViewId="0"/>
  </sheetViews>
  <sheetFormatPr defaultColWidth="8.6640625" defaultRowHeight="14.4" x14ac:dyDescent="0.3"/>
  <cols>
    <col min="1" max="1" width="12" customWidth="1"/>
    <col min="2" max="2" width="10" customWidth="1"/>
    <col min="3" max="5" width="11" customWidth="1"/>
    <col min="6" max="11" width="10" customWidth="1"/>
    <col min="12" max="12" width="11" customWidth="1"/>
    <col min="13" max="13" width="8" customWidth="1"/>
  </cols>
  <sheetData>
    <row r="1" spans="1:13" ht="18" x14ac:dyDescent="0.35">
      <c r="A1" s="3" t="s">
        <v>235</v>
      </c>
    </row>
    <row r="2" spans="1:13" x14ac:dyDescent="0.3">
      <c r="A2" s="4" t="s">
        <v>236</v>
      </c>
    </row>
    <row r="4" spans="1:13" ht="48" customHeight="1" x14ac:dyDescent="0.3">
      <c r="A4" s="5" t="s">
        <v>59</v>
      </c>
      <c r="B4" s="5" t="s">
        <v>237</v>
      </c>
      <c r="C4" s="5" t="s">
        <v>238</v>
      </c>
      <c r="D4" s="5" t="s">
        <v>239</v>
      </c>
      <c r="E4" s="5" t="s">
        <v>240</v>
      </c>
      <c r="F4" s="5" t="s">
        <v>222</v>
      </c>
      <c r="G4" s="5" t="s">
        <v>241</v>
      </c>
      <c r="H4" s="5" t="s">
        <v>56</v>
      </c>
      <c r="I4" s="5" t="s">
        <v>242</v>
      </c>
      <c r="J4" s="5" t="s">
        <v>243</v>
      </c>
      <c r="K4" s="5" t="s">
        <v>244</v>
      </c>
      <c r="L4" s="5" t="s">
        <v>245</v>
      </c>
      <c r="M4" s="5" t="s">
        <v>172</v>
      </c>
    </row>
    <row r="5" spans="1:13" x14ac:dyDescent="0.3">
      <c r="A5" s="9" t="s">
        <v>67</v>
      </c>
      <c r="B5" s="19">
        <v>2000</v>
      </c>
      <c r="C5" s="26">
        <v>1999.9955600000001</v>
      </c>
      <c r="D5" s="26">
        <v>1999.9956099999999</v>
      </c>
      <c r="E5" s="22">
        <v>0.166392175</v>
      </c>
      <c r="F5" s="33">
        <f>Results!I5</f>
        <v>295.875426</v>
      </c>
      <c r="G5" s="11">
        <f>E5*Setup!$B$22*(F5-Setup!$B$16)</f>
        <v>1999.9142542806821</v>
      </c>
      <c r="H5" s="34">
        <f t="shared" ref="H5:H11" si="0">(D5-C5)/C5</f>
        <v>2.5000055437004136E-8</v>
      </c>
      <c r="I5" s="13">
        <f t="shared" ref="I5:I11" si="1">G5/B5</f>
        <v>0.99995712714034102</v>
      </c>
      <c r="J5" s="13">
        <f t="shared" ref="J5:J11" si="2">G5/D5</f>
        <v>0.99995932205105298</v>
      </c>
      <c r="K5" s="35">
        <f t="shared" ref="K5:K11" si="3">C5/B5</f>
        <v>0.99999778000000006</v>
      </c>
      <c r="L5" s="36">
        <v>1.8898752E-10</v>
      </c>
      <c r="M5" s="9" t="e">
        <f>IF(AND(ABS(I5-1)&lt;=#REF!,ABS(H5)&lt;=#REF!,ABS(J5-1)&lt;=#REF!),"Pass","Fail")</f>
        <v>#REF!</v>
      </c>
    </row>
    <row r="6" spans="1:13" x14ac:dyDescent="0.3">
      <c r="A6" s="9" t="s">
        <v>71</v>
      </c>
      <c r="B6" s="19">
        <v>2000</v>
      </c>
      <c r="C6" s="26">
        <v>1999.99729</v>
      </c>
      <c r="D6" s="26">
        <v>1999.9971700000001</v>
      </c>
      <c r="E6" s="22">
        <v>0.166392175</v>
      </c>
      <c r="F6" s="33">
        <f>Results!I6</f>
        <v>295.87542999999999</v>
      </c>
      <c r="G6" s="11">
        <f>E6*Setup!$B$22*(F6-Setup!$B$16)</f>
        <v>1999.9170363578412</v>
      </c>
      <c r="H6" s="34">
        <f t="shared" si="0"/>
        <v>-6.0000081262311516E-8</v>
      </c>
      <c r="I6" s="13">
        <f t="shared" si="1"/>
        <v>0.99995851817892056</v>
      </c>
      <c r="J6" s="13">
        <f t="shared" si="2"/>
        <v>0.99995993312222586</v>
      </c>
      <c r="K6" s="35">
        <f t="shared" si="3"/>
        <v>0.99999864500000002</v>
      </c>
      <c r="L6" s="36">
        <v>9.6294956999999997E-11</v>
      </c>
      <c r="M6" s="9" t="e">
        <f>IF(AND(ABS(I6-1)&lt;=#REF!,ABS(H6)&lt;=#REF!,ABS(J6-1)&lt;=#REF!),"Pass","Fail")</f>
        <v>#REF!</v>
      </c>
    </row>
    <row r="7" spans="1:13" x14ac:dyDescent="0.3">
      <c r="A7" s="9" t="s">
        <v>72</v>
      </c>
      <c r="B7" s="19">
        <v>2000</v>
      </c>
      <c r="C7" s="26">
        <v>1999.9966899999999</v>
      </c>
      <c r="D7" s="26">
        <v>1999.9966899999999</v>
      </c>
      <c r="E7" s="22">
        <v>0.166392175</v>
      </c>
      <c r="F7" s="33">
        <f>Results!I7</f>
        <v>295.875338</v>
      </c>
      <c r="G7" s="11">
        <f>E7*Setup!$B$22*(F7-Setup!$B$16)</f>
        <v>1999.8530485830265</v>
      </c>
      <c r="H7" s="34">
        <f t="shared" si="0"/>
        <v>0</v>
      </c>
      <c r="I7" s="13">
        <f t="shared" si="1"/>
        <v>0.9999265242915133</v>
      </c>
      <c r="J7" s="13">
        <f t="shared" si="2"/>
        <v>0.99992817917264987</v>
      </c>
      <c r="K7" s="35">
        <f t="shared" si="3"/>
        <v>0.99999834499999996</v>
      </c>
      <c r="L7" s="36">
        <v>9.9021501000000005E-11</v>
      </c>
      <c r="M7" s="9" t="e">
        <f>IF(AND(ABS(I7-1)&lt;=#REF!,ABS(H7)&lt;=#REF!,ABS(J7-1)&lt;=#REF!),"Pass","Fail")</f>
        <v>#REF!</v>
      </c>
    </row>
    <row r="8" spans="1:13" x14ac:dyDescent="0.3">
      <c r="A8" s="9" t="s">
        <v>73</v>
      </c>
      <c r="B8" s="19">
        <v>2000</v>
      </c>
      <c r="C8" s="26">
        <v>1999.9992199999999</v>
      </c>
      <c r="D8" s="26">
        <v>1999.9992</v>
      </c>
      <c r="E8" s="22">
        <v>0.166392175</v>
      </c>
      <c r="F8" s="33">
        <f>Results!I8</f>
        <v>295.87528700000001</v>
      </c>
      <c r="G8" s="11">
        <f>E8*Setup!$B$22*(F8-Setup!$B$16)</f>
        <v>1999.8175770991704</v>
      </c>
      <c r="H8" s="34">
        <f t="shared" si="0"/>
        <v>-1.0000003874753938E-8</v>
      </c>
      <c r="I8" s="13">
        <f t="shared" si="1"/>
        <v>0.9999087885495852</v>
      </c>
      <c r="J8" s="13">
        <f t="shared" si="2"/>
        <v>0.99990918851326061</v>
      </c>
      <c r="K8" s="35">
        <f t="shared" si="3"/>
        <v>0.99999960999999993</v>
      </c>
      <c r="L8" s="36">
        <v>1.8830311000000001E-10</v>
      </c>
      <c r="M8" s="9" t="e">
        <f>IF(AND(ABS(I8-1)&lt;=#REF!,ABS(H8)&lt;=#REF!,ABS(J8-1)&lt;=#REF!),"Pass","Fail")</f>
        <v>#REF!</v>
      </c>
    </row>
    <row r="9" spans="1:13" x14ac:dyDescent="0.3">
      <c r="A9" s="9" t="s">
        <v>74</v>
      </c>
      <c r="B9" s="19">
        <v>2000</v>
      </c>
      <c r="C9" s="26">
        <v>1999.9966099999999</v>
      </c>
      <c r="D9" s="26">
        <v>2000.7193299999999</v>
      </c>
      <c r="E9" s="22">
        <v>0.166392175</v>
      </c>
      <c r="F9" s="33">
        <f>Results!I9</f>
        <v>295.87634000000003</v>
      </c>
      <c r="G9" s="11">
        <f>E9*Setup!$B$22*(F9-Setup!$B$16)</f>
        <v>2000.5499589131291</v>
      </c>
      <c r="H9" s="34">
        <f t="shared" si="0"/>
        <v>3.6136061250622881E-4</v>
      </c>
      <c r="I9" s="13">
        <f t="shared" si="1"/>
        <v>1.0002749794565646</v>
      </c>
      <c r="J9" s="13">
        <f t="shared" si="2"/>
        <v>0.99991534490403966</v>
      </c>
      <c r="K9" s="35">
        <f t="shared" si="3"/>
        <v>0.99999830499999998</v>
      </c>
      <c r="L9" s="36">
        <v>2.1883289000000001E-10</v>
      </c>
      <c r="M9" s="9" t="e">
        <f>IF(AND(ABS(I9-1)&lt;=#REF!,ABS(H9)&lt;=#REF!,ABS(J9-1)&lt;=#REF!),"Pass","Fail")</f>
        <v>#REF!</v>
      </c>
    </row>
    <row r="10" spans="1:13" x14ac:dyDescent="0.3">
      <c r="A10" s="9" t="s">
        <v>77</v>
      </c>
      <c r="B10" s="19">
        <v>2000</v>
      </c>
      <c r="C10" s="26">
        <v>1999.99686</v>
      </c>
      <c r="D10" s="26">
        <v>2002.5577699999999</v>
      </c>
      <c r="E10" s="22">
        <v>0.166392175</v>
      </c>
      <c r="F10" s="33">
        <f>Results!I10</f>
        <v>295.87910900000003</v>
      </c>
      <c r="G10" s="11">
        <f>E10*Setup!$B$22*(F10-Setup!$B$16)</f>
        <v>2002.4758518312931</v>
      </c>
      <c r="H10" s="34">
        <f t="shared" si="0"/>
        <v>1.280457010317467E-3</v>
      </c>
      <c r="I10" s="13">
        <f t="shared" si="1"/>
        <v>1.0012379259156465</v>
      </c>
      <c r="J10" s="13">
        <f t="shared" si="2"/>
        <v>0.9999590932307002</v>
      </c>
      <c r="K10" s="35">
        <f t="shared" si="3"/>
        <v>0.99999842999999999</v>
      </c>
      <c r="L10" s="36"/>
      <c r="M10" s="9" t="e">
        <f>IF(AND(ABS(I10-1)&lt;=#REF!,ABS(H10)&lt;=#REF!,ABS(J10-1)&lt;=#REF!),"Pass","Fail")</f>
        <v>#REF!</v>
      </c>
    </row>
    <row r="11" spans="1:13" x14ac:dyDescent="0.3">
      <c r="A11" s="9" t="s">
        <v>78</v>
      </c>
      <c r="B11" s="19">
        <v>2000</v>
      </c>
      <c r="C11" s="26">
        <v>1999.99578</v>
      </c>
      <c r="D11" s="26">
        <v>2000.7609500000001</v>
      </c>
      <c r="E11" s="22">
        <v>0.166392175</v>
      </c>
      <c r="F11" s="33">
        <f>Results!I11</f>
        <v>295.87640199999998</v>
      </c>
      <c r="G11" s="11">
        <f>E11*Setup!$B$22*(F11-Setup!$B$16)</f>
        <v>2000.5930811091723</v>
      </c>
      <c r="H11" s="34">
        <f t="shared" si="0"/>
        <v>3.8258580725611613E-4</v>
      </c>
      <c r="I11" s="13">
        <f t="shared" si="1"/>
        <v>1.0002965405545861</v>
      </c>
      <c r="J11" s="13">
        <f t="shared" si="2"/>
        <v>0.9999160974773984</v>
      </c>
      <c r="K11" s="35">
        <f t="shared" si="3"/>
        <v>0.99999788999999994</v>
      </c>
      <c r="L11" s="36"/>
      <c r="M11" s="9" t="e">
        <f>IF(AND(ABS(I11-1)&lt;=#REF!,ABS(H11)&lt;=#REF!,ABS(J11-1)&lt;=#REF!),"Pass","Fail")</f>
        <v>#REF!</v>
      </c>
    </row>
    <row r="13" spans="1:13" x14ac:dyDescent="0.3">
      <c r="A13" s="17" t="s">
        <v>50</v>
      </c>
    </row>
    <row r="14" spans="1:13" x14ac:dyDescent="0.3">
      <c r="A14" s="4" t="s">
        <v>246</v>
      </c>
    </row>
    <row r="15" spans="1:13" x14ac:dyDescent="0.3">
      <c r="A15" s="4" t="s">
        <v>247</v>
      </c>
    </row>
    <row r="16" spans="1:13" x14ac:dyDescent="0.3">
      <c r="A16" s="4" t="s">
        <v>248</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8"/>
  <sheetViews>
    <sheetView showGridLines="0" zoomScaleNormal="100" workbookViewId="0"/>
  </sheetViews>
  <sheetFormatPr defaultColWidth="8.6640625" defaultRowHeight="14.4" x14ac:dyDescent="0.3"/>
  <cols>
    <col min="1" max="1" width="40" customWidth="1"/>
    <col min="2" max="2" width="8" customWidth="1"/>
    <col min="3" max="3" width="14" customWidth="1"/>
    <col min="4" max="4" width="12" customWidth="1"/>
    <col min="5" max="5" width="14" customWidth="1"/>
    <col min="6" max="6" width="10" customWidth="1"/>
    <col min="7" max="7" width="70" customWidth="1"/>
  </cols>
  <sheetData>
    <row r="1" spans="1:7" ht="18" x14ac:dyDescent="0.35">
      <c r="A1" s="3" t="s">
        <v>249</v>
      </c>
    </row>
    <row r="2" spans="1:7" x14ac:dyDescent="0.3">
      <c r="A2" s="4" t="s">
        <v>250</v>
      </c>
    </row>
    <row r="4" spans="1:7" ht="48" customHeight="1" x14ac:dyDescent="0.3">
      <c r="A4" s="5" t="s">
        <v>251</v>
      </c>
      <c r="B4" s="5" t="s">
        <v>82</v>
      </c>
      <c r="C4" s="5" t="s">
        <v>252</v>
      </c>
      <c r="D4" s="5" t="s">
        <v>46</v>
      </c>
      <c r="E4" s="5" t="s">
        <v>253</v>
      </c>
      <c r="F4" s="5" t="s">
        <v>254</v>
      </c>
      <c r="G4" s="5" t="s">
        <v>83</v>
      </c>
    </row>
    <row r="5" spans="1:7" x14ac:dyDescent="0.3">
      <c r="A5" s="6" t="s">
        <v>255</v>
      </c>
      <c r="B5" s="6" t="s">
        <v>256</v>
      </c>
      <c r="C5" s="20">
        <v>13101</v>
      </c>
      <c r="D5" s="20">
        <v>13100</v>
      </c>
      <c r="E5" s="37">
        <f t="shared" ref="E5:E12" si="0">IF(OR(C5="",D5=""),"",C5-D5)</f>
        <v>1</v>
      </c>
      <c r="F5" s="6" t="s">
        <v>256</v>
      </c>
      <c r="G5" s="7" t="s">
        <v>257</v>
      </c>
    </row>
    <row r="6" spans="1:7" x14ac:dyDescent="0.3">
      <c r="A6" s="6" t="s">
        <v>258</v>
      </c>
      <c r="B6" s="6" t="s">
        <v>259</v>
      </c>
      <c r="C6" s="19">
        <v>22.68</v>
      </c>
      <c r="D6" s="19">
        <v>22.77</v>
      </c>
      <c r="E6" s="18">
        <f t="shared" si="0"/>
        <v>-8.9999999999999858E-2</v>
      </c>
      <c r="F6" s="6" t="s">
        <v>85</v>
      </c>
      <c r="G6" s="7" t="s">
        <v>260</v>
      </c>
    </row>
    <row r="7" spans="1:7" x14ac:dyDescent="0.3">
      <c r="A7" s="6" t="s">
        <v>261</v>
      </c>
      <c r="B7" s="6" t="s">
        <v>259</v>
      </c>
      <c r="C7" s="19">
        <v>22.73</v>
      </c>
      <c r="D7" s="19"/>
      <c r="E7" s="18" t="str">
        <f t="shared" si="0"/>
        <v/>
      </c>
      <c r="F7" s="6" t="s">
        <v>85</v>
      </c>
      <c r="G7" s="7" t="s">
        <v>262</v>
      </c>
    </row>
    <row r="8" spans="1:7" x14ac:dyDescent="0.3">
      <c r="A8" s="6" t="s">
        <v>263</v>
      </c>
      <c r="B8" s="6" t="s">
        <v>259</v>
      </c>
      <c r="C8" s="19">
        <v>40.56</v>
      </c>
      <c r="D8" s="19">
        <v>41.83</v>
      </c>
      <c r="E8" s="18">
        <f t="shared" si="0"/>
        <v>-1.269999999999996</v>
      </c>
      <c r="F8" s="6" t="s">
        <v>85</v>
      </c>
      <c r="G8" s="7" t="s">
        <v>264</v>
      </c>
    </row>
    <row r="9" spans="1:7" x14ac:dyDescent="0.3">
      <c r="A9" s="6" t="s">
        <v>265</v>
      </c>
      <c r="B9" s="6" t="s">
        <v>259</v>
      </c>
      <c r="C9" s="19">
        <v>33.770000000000003</v>
      </c>
      <c r="D9" s="19">
        <v>36.65</v>
      </c>
      <c r="E9" s="18">
        <f t="shared" si="0"/>
        <v>-2.8799999999999955</v>
      </c>
      <c r="F9" s="6" t="s">
        <v>85</v>
      </c>
      <c r="G9" s="7" t="s">
        <v>266</v>
      </c>
    </row>
    <row r="10" spans="1:7" x14ac:dyDescent="0.3">
      <c r="A10" s="6" t="s">
        <v>267</v>
      </c>
      <c r="B10" s="6" t="s">
        <v>259</v>
      </c>
      <c r="C10" s="19"/>
      <c r="D10" s="19">
        <v>26.65</v>
      </c>
      <c r="E10" s="18" t="str">
        <f t="shared" si="0"/>
        <v/>
      </c>
      <c r="F10" s="6" t="s">
        <v>85</v>
      </c>
      <c r="G10" s="7" t="s">
        <v>268</v>
      </c>
    </row>
    <row r="11" spans="1:7" x14ac:dyDescent="0.3">
      <c r="A11" s="6" t="s">
        <v>269</v>
      </c>
      <c r="B11" s="6" t="s">
        <v>270</v>
      </c>
      <c r="C11" s="19">
        <v>4.91</v>
      </c>
      <c r="D11" s="19">
        <v>4.25</v>
      </c>
      <c r="E11" s="18">
        <f t="shared" si="0"/>
        <v>0.66000000000000014</v>
      </c>
      <c r="F11" s="6" t="s">
        <v>270</v>
      </c>
      <c r="G11" s="7" t="s">
        <v>271</v>
      </c>
    </row>
    <row r="12" spans="1:7" x14ac:dyDescent="0.3">
      <c r="A12" s="6" t="s">
        <v>272</v>
      </c>
      <c r="B12" s="6" t="s">
        <v>259</v>
      </c>
      <c r="C12" s="11">
        <f>Setup!$B$16-Setup!$B$28</f>
        <v>19.850000000000023</v>
      </c>
      <c r="D12" s="19">
        <v>19.850000000000001</v>
      </c>
      <c r="E12" s="18">
        <f t="shared" si="0"/>
        <v>2.1316282072803006E-14</v>
      </c>
      <c r="F12" s="6" t="s">
        <v>85</v>
      </c>
      <c r="G12" s="7" t="s">
        <v>273</v>
      </c>
    </row>
    <row r="14" spans="1:7" x14ac:dyDescent="0.3">
      <c r="A14" s="6" t="s">
        <v>274</v>
      </c>
      <c r="B14" s="6" t="s">
        <v>85</v>
      </c>
      <c r="C14" s="11">
        <f>C6-C12</f>
        <v>2.829999999999977</v>
      </c>
      <c r="D14" s="11">
        <f>D6-D12</f>
        <v>2.9199999999999982</v>
      </c>
      <c r="E14" s="18">
        <f>C14-D14</f>
        <v>-9.0000000000021174E-2</v>
      </c>
      <c r="F14" s="6" t="s">
        <v>85</v>
      </c>
    </row>
    <row r="15" spans="1:7" x14ac:dyDescent="0.3">
      <c r="A15" s="6" t="s">
        <v>275</v>
      </c>
      <c r="B15" s="6" t="s">
        <v>85</v>
      </c>
      <c r="C15" s="12">
        <f>Setup!$B$17/(Setup!$B$27*Setup!$B$22)</f>
        <v>2.8755492830208578</v>
      </c>
    </row>
    <row r="16" spans="1:7" x14ac:dyDescent="0.3">
      <c r="A16" s="6" t="s">
        <v>276</v>
      </c>
      <c r="B16" s="6" t="s">
        <v>277</v>
      </c>
      <c r="C16" s="32">
        <v>0.99987000000000004</v>
      </c>
    </row>
    <row r="17" spans="1:7" x14ac:dyDescent="0.3">
      <c r="A17" s="6" t="s">
        <v>278</v>
      </c>
      <c r="B17" s="6" t="s">
        <v>277</v>
      </c>
      <c r="C17" s="32">
        <v>0</v>
      </c>
    </row>
    <row r="19" spans="1:7" x14ac:dyDescent="0.3">
      <c r="A19" s="17" t="s">
        <v>279</v>
      </c>
    </row>
    <row r="20" spans="1:7" ht="48" customHeight="1" x14ac:dyDescent="0.3">
      <c r="A20" s="5" t="s">
        <v>280</v>
      </c>
      <c r="B20" s="5"/>
      <c r="C20" s="5" t="s">
        <v>252</v>
      </c>
      <c r="D20" s="5" t="s">
        <v>46</v>
      </c>
      <c r="E20" s="5"/>
      <c r="F20" s="5"/>
      <c r="G20" s="5"/>
    </row>
    <row r="21" spans="1:7" ht="30" customHeight="1" x14ac:dyDescent="0.3">
      <c r="A21" s="6" t="s">
        <v>281</v>
      </c>
      <c r="C21" s="7" t="s">
        <v>282</v>
      </c>
      <c r="D21" s="1" t="s">
        <v>283</v>
      </c>
      <c r="E21" s="1"/>
      <c r="F21" s="1"/>
      <c r="G21" s="1"/>
    </row>
    <row r="22" spans="1:7" ht="30" customHeight="1" x14ac:dyDescent="0.3">
      <c r="A22" s="6" t="s">
        <v>19</v>
      </c>
      <c r="C22" s="7" t="s">
        <v>284</v>
      </c>
      <c r="D22" s="1" t="s">
        <v>285</v>
      </c>
      <c r="E22" s="1"/>
      <c r="F22" s="1"/>
      <c r="G22" s="1"/>
    </row>
    <row r="23" spans="1:7" ht="30" customHeight="1" x14ac:dyDescent="0.3">
      <c r="A23" s="6" t="s">
        <v>286</v>
      </c>
      <c r="C23" s="7" t="s">
        <v>287</v>
      </c>
      <c r="D23" s="1" t="s">
        <v>288</v>
      </c>
      <c r="E23" s="1"/>
      <c r="F23" s="1"/>
      <c r="G23" s="1"/>
    </row>
    <row r="24" spans="1:7" ht="30" customHeight="1" x14ac:dyDescent="0.3">
      <c r="A24" s="6" t="s">
        <v>289</v>
      </c>
      <c r="C24" s="7" t="s">
        <v>290</v>
      </c>
      <c r="D24" s="1" t="s">
        <v>291</v>
      </c>
      <c r="E24" s="1"/>
      <c r="F24" s="1"/>
      <c r="G24" s="1"/>
    </row>
    <row r="26" spans="1:7" x14ac:dyDescent="0.3">
      <c r="A26" s="17" t="s">
        <v>50</v>
      </c>
    </row>
    <row r="27" spans="1:7" x14ac:dyDescent="0.3">
      <c r="A27" s="4" t="s">
        <v>292</v>
      </c>
    </row>
    <row r="28" spans="1:7" x14ac:dyDescent="0.3">
      <c r="A28" s="4" t="s">
        <v>293</v>
      </c>
    </row>
  </sheetData>
  <mergeCells count="4">
    <mergeCell ref="D21:G21"/>
    <mergeCell ref="D22:G22"/>
    <mergeCell ref="D23:G23"/>
    <mergeCell ref="D24:G2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5"/>
  <sheetViews>
    <sheetView showGridLines="0" zoomScaleNormal="100" workbookViewId="0"/>
  </sheetViews>
  <sheetFormatPr defaultColWidth="8.6640625" defaultRowHeight="14.4" x14ac:dyDescent="0.3"/>
  <cols>
    <col min="1" max="2" width="12" customWidth="1"/>
    <col min="3" max="3" width="10" customWidth="1"/>
    <col min="4" max="4" width="12" customWidth="1"/>
    <col min="5" max="5" width="9" customWidth="1"/>
    <col min="6" max="8" width="10" customWidth="1"/>
  </cols>
  <sheetData>
    <row r="1" spans="1:8" ht="18" x14ac:dyDescent="0.35">
      <c r="A1" s="3" t="s">
        <v>294</v>
      </c>
    </row>
    <row r="2" spans="1:8" x14ac:dyDescent="0.3">
      <c r="A2" s="4" t="s">
        <v>295</v>
      </c>
    </row>
    <row r="4" spans="1:8" ht="48" customHeight="1" x14ac:dyDescent="0.3">
      <c r="A4" s="5" t="s">
        <v>59</v>
      </c>
      <c r="B4" s="5" t="s">
        <v>296</v>
      </c>
      <c r="C4" s="5" t="s">
        <v>297</v>
      </c>
      <c r="D4" s="5" t="s">
        <v>298</v>
      </c>
      <c r="E4" s="5" t="s">
        <v>299</v>
      </c>
      <c r="F4" s="5" t="s">
        <v>300</v>
      </c>
      <c r="G4" s="5" t="s">
        <v>301</v>
      </c>
      <c r="H4" s="5" t="s">
        <v>302</v>
      </c>
    </row>
    <row r="5" spans="1:8" x14ac:dyDescent="0.3">
      <c r="A5" s="9" t="s">
        <v>67</v>
      </c>
      <c r="B5" s="16">
        <f>'Mesh size'!L5</f>
        <v>6248162</v>
      </c>
      <c r="C5" s="10">
        <f>'Meshing time'!L5</f>
        <v>8.1914999999999996</v>
      </c>
      <c r="D5" s="19">
        <v>0.998</v>
      </c>
      <c r="E5" s="24">
        <v>96</v>
      </c>
      <c r="F5" s="8">
        <f t="shared" ref="F5:F11" si="0">D5*E5</f>
        <v>95.807999999999993</v>
      </c>
      <c r="G5" s="11">
        <f t="shared" ref="G5:G11" si="1">D5*3600/5000</f>
        <v>0.71856000000000009</v>
      </c>
      <c r="H5" s="11">
        <f t="shared" ref="H5:H11" si="2">C5/60+D5</f>
        <v>1.134525</v>
      </c>
    </row>
    <row r="6" spans="1:8" x14ac:dyDescent="0.3">
      <c r="A6" s="9" t="s">
        <v>71</v>
      </c>
      <c r="B6" s="16">
        <f>'Mesh size'!L6</f>
        <v>6597014</v>
      </c>
      <c r="C6" s="10">
        <f>'Meshing time'!L6</f>
        <v>10.125500000000001</v>
      </c>
      <c r="D6" s="19">
        <v>0.97699999999999998</v>
      </c>
      <c r="E6" s="24">
        <v>96</v>
      </c>
      <c r="F6" s="8">
        <f t="shared" si="0"/>
        <v>93.792000000000002</v>
      </c>
      <c r="G6" s="11">
        <f t="shared" si="1"/>
        <v>0.70343999999999995</v>
      </c>
      <c r="H6" s="11">
        <f t="shared" si="2"/>
        <v>1.1457583333333332</v>
      </c>
    </row>
    <row r="7" spans="1:8" x14ac:dyDescent="0.3">
      <c r="A7" s="9" t="s">
        <v>72</v>
      </c>
      <c r="B7" s="16">
        <f>'Mesh size'!L7</f>
        <v>6611522</v>
      </c>
      <c r="C7" s="10">
        <f>'Meshing time'!L7</f>
        <v>6.1604999999999999</v>
      </c>
      <c r="D7" s="19">
        <v>0.98199999999999998</v>
      </c>
      <c r="E7" s="24">
        <v>96</v>
      </c>
      <c r="F7" s="8">
        <f t="shared" si="0"/>
        <v>94.271999999999991</v>
      </c>
      <c r="G7" s="11">
        <f t="shared" si="1"/>
        <v>0.70704</v>
      </c>
      <c r="H7" s="11">
        <f t="shared" si="2"/>
        <v>1.0846750000000001</v>
      </c>
    </row>
    <row r="8" spans="1:8" x14ac:dyDescent="0.3">
      <c r="A8" s="9" t="s">
        <v>73</v>
      </c>
      <c r="B8" s="16">
        <f>'Mesh size'!L8</f>
        <v>6144592</v>
      </c>
      <c r="C8" s="10">
        <f>'Meshing time'!L8</f>
        <v>6.3608333333333329</v>
      </c>
      <c r="D8" s="19">
        <v>0.96299999999999997</v>
      </c>
      <c r="E8" s="24">
        <v>96</v>
      </c>
      <c r="F8" s="8">
        <f t="shared" si="0"/>
        <v>92.447999999999993</v>
      </c>
      <c r="G8" s="11">
        <f t="shared" si="1"/>
        <v>0.69335999999999998</v>
      </c>
      <c r="H8" s="11">
        <f t="shared" si="2"/>
        <v>1.0690138888888889</v>
      </c>
    </row>
    <row r="9" spans="1:8" x14ac:dyDescent="0.3">
      <c r="A9" s="9" t="s">
        <v>74</v>
      </c>
      <c r="B9" s="16">
        <f>'Mesh size'!L9</f>
        <v>16444003</v>
      </c>
      <c r="C9" s="10">
        <f>'Meshing time'!L9</f>
        <v>33.07033333333333</v>
      </c>
      <c r="D9" s="19">
        <v>3.3330000000000002</v>
      </c>
      <c r="E9" s="24">
        <v>96</v>
      </c>
      <c r="F9" s="8">
        <f t="shared" si="0"/>
        <v>319.96800000000002</v>
      </c>
      <c r="G9" s="11">
        <f t="shared" si="1"/>
        <v>2.3997600000000001</v>
      </c>
      <c r="H9" s="11">
        <f t="shared" si="2"/>
        <v>3.8841722222222224</v>
      </c>
    </row>
    <row r="10" spans="1:8" x14ac:dyDescent="0.3">
      <c r="A10" s="9" t="s">
        <v>77</v>
      </c>
      <c r="B10" s="16">
        <f>'Mesh size'!L10</f>
        <v>18545147</v>
      </c>
      <c r="C10" s="10">
        <f>'Meshing time'!L10</f>
        <v>110.92749999999999</v>
      </c>
      <c r="D10" s="19">
        <v>3.0870000000000002</v>
      </c>
      <c r="E10" s="24">
        <v>96</v>
      </c>
      <c r="F10" s="8">
        <f t="shared" si="0"/>
        <v>296.35200000000003</v>
      </c>
      <c r="G10" s="11">
        <f t="shared" si="1"/>
        <v>2.2226400000000002</v>
      </c>
      <c r="H10" s="11">
        <f t="shared" si="2"/>
        <v>4.9357916666666668</v>
      </c>
    </row>
    <row r="11" spans="1:8" x14ac:dyDescent="0.3">
      <c r="A11" s="9" t="s">
        <v>78</v>
      </c>
      <c r="B11" s="16">
        <f>'Mesh size'!L11</f>
        <v>16489195</v>
      </c>
      <c r="C11" s="10">
        <f>'Meshing time'!L11</f>
        <v>33.7425</v>
      </c>
      <c r="D11" s="19">
        <v>2.677</v>
      </c>
      <c r="E11" s="24">
        <v>96</v>
      </c>
      <c r="F11" s="8">
        <f t="shared" si="0"/>
        <v>256.99200000000002</v>
      </c>
      <c r="G11" s="11">
        <f t="shared" si="1"/>
        <v>1.92744</v>
      </c>
      <c r="H11" s="11">
        <f t="shared" si="2"/>
        <v>3.2393749999999999</v>
      </c>
    </row>
    <row r="13" spans="1:8" x14ac:dyDescent="0.3">
      <c r="A13" s="17" t="s">
        <v>50</v>
      </c>
    </row>
    <row r="14" spans="1:8" x14ac:dyDescent="0.3">
      <c r="A14" s="4" t="s">
        <v>303</v>
      </c>
    </row>
    <row r="15" spans="1:8" x14ac:dyDescent="0.3">
      <c r="A15" s="4" t="s">
        <v>304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Setup</vt:lpstr>
      <vt:lpstr>Mesh size</vt:lpstr>
      <vt:lpstr>Meshing time</vt:lpstr>
      <vt:lpstr>Mesh quality</vt:lpstr>
      <vt:lpstr>Geometry</vt:lpstr>
      <vt:lpstr>Wall resolution</vt:lpstr>
      <vt:lpstr>Results</vt:lpstr>
      <vt:lpstr>Energy</vt:lpstr>
      <vt:lpstr>SimScale</vt:lpstr>
      <vt:lpstr>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Rama Aditya</cp:lastModifiedBy>
  <cp:revision>0</cp:revision>
  <dcterms:created xsi:type="dcterms:W3CDTF">2026-10-09T03:02:23Z</dcterms:created>
  <dcterms:modified xsi:type="dcterms:W3CDTF">2026-10-09T18:21:08Z</dcterms:modified>
  <dc:language>en-US</dc:language>
</cp:coreProperties>
</file>